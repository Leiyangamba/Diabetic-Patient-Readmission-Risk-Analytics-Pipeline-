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lip\Desktop\"/>
    </mc:Choice>
  </mc:AlternateContent>
  <xr:revisionPtr revIDLastSave="0" documentId="13_ncr:1_{4254DCD8-78A1-4776-92E2-E47CBA4F4360}" xr6:coauthVersionLast="47" xr6:coauthVersionMax="47" xr10:uidLastSave="{00000000-0000-0000-0000-000000000000}"/>
  <bookViews>
    <workbookView xWindow="-108" yWindow="-108" windowWidth="23256" windowHeight="12456" tabRatio="780" xr2:uid="{D3D1DF40-11B2-4E4D-9B77-1DEFEE51BCFB}"/>
  </bookViews>
  <sheets>
    <sheet name="02_Clinical_Risk" sheetId="16" r:id="rId1"/>
    <sheet name="Utilization_Cost" sheetId="20" r:id="rId2"/>
    <sheet name="stretegic performance" sheetId="13" r:id="rId3"/>
    <sheet name="executive_summary" sheetId="14" r:id="rId4"/>
    <sheet name="polypharmacy" sheetId="2" r:id="rId5"/>
    <sheet name="overall_readmission" sheetId="3" r:id="rId6"/>
    <sheet name="age_group_readmission" sheetId="5" r:id="rId7"/>
    <sheet name="prior_inpatient" sheetId="7" r:id="rId8"/>
    <sheet name="diagnosis_category" sheetId="6" r:id="rId9"/>
    <sheet name="patient_risk_scores" sheetId="8" r:id="rId10"/>
    <sheet name="discharge_dipositions" sheetId="9" r:id="rId11"/>
    <sheet name="insuline_change_impact" sheetId="10" r:id="rId12"/>
    <sheet name="average_Healthcare_utilisation" sheetId="11" r:id="rId13"/>
    <sheet name="length_of_stay" sheetId="12" r:id="rId14"/>
  </sheets>
  <definedNames>
    <definedName name="ExternalData_1" localSheetId="6" hidden="1">age_group_readmission!$A$1:$E$11</definedName>
    <definedName name="ExternalData_1" localSheetId="12" hidden="1">average_Healthcare_utilisation!$A$1:$G$3</definedName>
    <definedName name="ExternalData_1" localSheetId="8" hidden="1">diagnosis_category!$A$1:$D$11</definedName>
    <definedName name="ExternalData_1" localSheetId="10" hidden="1">discharge_dipositions!$A$1:$E$12</definedName>
    <definedName name="ExternalData_1" localSheetId="3" hidden="1">executive_summary!$A$1:$C$8</definedName>
    <definedName name="ExternalData_1" localSheetId="11" hidden="1">insuline_change_impact!$A$1:$D$5</definedName>
    <definedName name="ExternalData_1" localSheetId="13" hidden="1">length_of_stay!$A$1:$D$4</definedName>
    <definedName name="ExternalData_1" localSheetId="5" hidden="1">overall_readmission!$A$1:$E$2</definedName>
    <definedName name="ExternalData_1" localSheetId="9" hidden="1">patient_risk_scores!$A$1:$D$7</definedName>
    <definedName name="ExternalData_1" localSheetId="4" hidden="1">polypharmacy!$A$1:$D$4</definedName>
    <definedName name="ExternalData_2" localSheetId="7" hidden="1">prior_inpatient!$A$1:$E$13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0" l="1"/>
  <c r="C11" i="20"/>
  <c r="C15" i="20"/>
  <c r="D15" i="20"/>
  <c r="E15" i="20"/>
  <c r="C16" i="20"/>
  <c r="D16" i="20"/>
  <c r="E16" i="20"/>
  <c r="C17" i="20"/>
  <c r="D17" i="20"/>
  <c r="E17" i="20"/>
  <c r="B16" i="20"/>
  <c r="B17" i="20"/>
  <c r="B15" i="20"/>
  <c r="AD8" i="20"/>
  <c r="AD9" i="20" s="1"/>
  <c r="AD7" i="20"/>
  <c r="AD6" i="20"/>
  <c r="F16" i="16"/>
  <c r="C17" i="16"/>
  <c r="D17" i="16"/>
  <c r="C18" i="16"/>
  <c r="D18" i="16"/>
  <c r="C19" i="16"/>
  <c r="D19" i="16"/>
  <c r="C20" i="16"/>
  <c r="D20" i="16"/>
  <c r="C21" i="16"/>
  <c r="D21" i="16"/>
  <c r="D16" i="16"/>
  <c r="B17" i="16"/>
  <c r="B18" i="16"/>
  <c r="B19" i="16"/>
  <c r="B20" i="16"/>
  <c r="B21" i="16"/>
  <c r="C16" i="16"/>
  <c r="B16" i="16"/>
  <c r="A17" i="16"/>
  <c r="A18" i="16"/>
  <c r="A19" i="16"/>
  <c r="A20" i="16"/>
  <c r="A21" i="16"/>
  <c r="A16" i="16"/>
  <c r="E2" i="6"/>
  <c r="E3" i="6"/>
  <c r="E4" i="6"/>
  <c r="E5" i="6"/>
  <c r="E6" i="6"/>
  <c r="E7" i="6"/>
  <c r="E8" i="6"/>
  <c r="E9" i="6"/>
  <c r="E10" i="6"/>
  <c r="E11" i="6"/>
  <c r="G2" i="6"/>
  <c r="G3" i="6"/>
  <c r="G4" i="6"/>
  <c r="G5" i="6"/>
  <c r="G6" i="6"/>
  <c r="G7" i="6"/>
  <c r="G8" i="6"/>
  <c r="G9" i="6"/>
  <c r="G10" i="6"/>
  <c r="G11" i="6"/>
  <c r="V2" i="16"/>
  <c r="V3" i="16" s="1"/>
  <c r="V1" i="16"/>
  <c r="V2" i="13"/>
  <c r="V3" i="13" s="1"/>
  <c r="V1" i="13"/>
  <c r="F11" i="6" l="1"/>
  <c r="F3" i="6"/>
  <c r="F9" i="6"/>
  <c r="F5" i="6"/>
  <c r="V4" i="13"/>
  <c r="F10" i="6"/>
  <c r="F2" i="6"/>
  <c r="F8" i="6"/>
  <c r="F4" i="6"/>
  <c r="F7" i="6"/>
  <c r="F6" i="6"/>
  <c r="A19" i="13"/>
  <c r="V4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F4EBDD-41CB-4983-9FC5-A7029EBD260A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21EBCC38-1015-4D3E-855E-F7AD2B13D887}" keepAlive="1" name="Query - Query10" description="Connection to the 'Query10' query in the workbook." type="5" refreshedVersion="8" background="1" saveData="1">
    <dbPr connection="Provider=Microsoft.Mashup.OleDb.1;Data Source=$Workbook$;Location=Query10;Extended Properties=&quot;&quot;" command="SELECT * FROM [Query10]"/>
  </connection>
  <connection id="3" xr16:uid="{68EB6913-ACFE-4523-A3E7-6309B1E3D941}" keepAlive="1" name="Query - Query11" description="Connection to the 'Query11' query in the workbook." type="5" refreshedVersion="8" background="1" saveData="1">
    <dbPr connection="Provider=Microsoft.Mashup.OleDb.1;Data Source=$Workbook$;Location=Query11;Extended Properties=&quot;&quot;" command="SELECT * FROM [Query11]"/>
  </connection>
  <connection id="4" xr16:uid="{05C26F26-09C4-49AC-8DA9-472B793FCEDF}" keepAlive="1" name="Query - Query12" description="Connection to the 'Query12' query in the workbook." type="5" refreshedVersion="8" background="1" saveData="1">
    <dbPr connection="Provider=Microsoft.Mashup.OleDb.1;Data Source=$Workbook$;Location=Query12;Extended Properties=&quot;&quot;" command="SELECT * FROM [Query12]"/>
  </connection>
  <connection id="5" xr16:uid="{B7C0AFB4-E053-4F6D-9D41-4530563257A3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6" xr16:uid="{578F945F-B45B-4CC1-8497-54CD56CDC502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  <connection id="7" xr16:uid="{85163E4D-64EE-4A6C-A137-D0ADED64DD88}" keepAlive="1" name="Query - Query4" description="Connection to the 'Query4' query in the workbook." type="5" refreshedVersion="8" background="1" saveData="1">
    <dbPr connection="Provider=Microsoft.Mashup.OleDb.1;Data Source=$Workbook$;Location=Query4;Extended Properties=&quot;&quot;" command="SELECT * FROM [Query4]"/>
  </connection>
  <connection id="8" xr16:uid="{4E4B90C2-A5F9-4F66-AAE5-3F451F9F0AF7}" keepAlive="1" name="Query - Query5" description="Connection to the 'Query5' query in the workbook." type="5" refreshedVersion="8" background="1" saveData="1">
    <dbPr connection="Provider=Microsoft.Mashup.OleDb.1;Data Source=$Workbook$;Location=Query5;Extended Properties=&quot;&quot;" command="SELECT * FROM [Query5]"/>
  </connection>
  <connection id="9" xr16:uid="{6A2D4862-82C6-4F6C-89D7-58BB05840384}" keepAlive="1" name="Query - Query6" description="Connection to the 'Query6' query in the workbook." type="5" refreshedVersion="8" background="1" saveData="1">
    <dbPr connection="Provider=Microsoft.Mashup.OleDb.1;Data Source=$Workbook$;Location=Query6;Extended Properties=&quot;&quot;" command="SELECT * FROM [Query6]"/>
  </connection>
  <connection id="10" xr16:uid="{5AC1B3B1-927C-4537-A5E1-53CEA4CBC93C}" keepAlive="1" name="Query - Query7" description="Connection to the 'Query7' query in the workbook." type="5" refreshedVersion="8" background="1" saveData="1">
    <dbPr connection="Provider=Microsoft.Mashup.OleDb.1;Data Source=$Workbook$;Location=Query7;Extended Properties=&quot;&quot;" command="SELECT * FROM [Query7]"/>
  </connection>
  <connection id="11" xr16:uid="{49D5424B-5E10-4429-939C-042FC01A822D}" keepAlive="1" name="Query - Query8" description="Connection to the 'Query8' query in the workbook." type="5" refreshedVersion="8" background="1" saveData="1">
    <dbPr connection="Provider=Microsoft.Mashup.OleDb.1;Data Source=$Workbook$;Location=Query8;Extended Properties=&quot;&quot;" command="SELECT * FROM [Query8]"/>
  </connection>
  <connection id="12" xr16:uid="{8533405F-6205-4B3D-B6E7-C2E0818EA08D}" keepAlive="1" name="Query - Query9" description="Connection to the 'Query9' query in the workbook." type="5" refreshedVersion="8" background="1" saveData="1">
    <dbPr connection="Provider=Microsoft.Mashup.OleDb.1;Data Source=$Workbook$;Location=Query9;Extended Properties=&quot;&quot;" command="SELECT * FROM [Query9]"/>
  </connection>
</connections>
</file>

<file path=xl/sharedStrings.xml><?xml version="1.0" encoding="utf-8"?>
<sst xmlns="http://schemas.openxmlformats.org/spreadsheetml/2006/main" count="140" uniqueCount="114">
  <si>
    <t>polypharmacy_group</t>
  </si>
  <si>
    <t>total_encounters</t>
  </si>
  <si>
    <t>total_readmissions</t>
  </si>
  <si>
    <t>readmission_rate_pct</t>
  </si>
  <si>
    <t>1-10 Medications (Low)</t>
  </si>
  <si>
    <t>11-20 Medications (Moderate)</t>
  </si>
  <si>
    <t>21+ Medications (High Polypharmacy)</t>
  </si>
  <si>
    <t>total_encounter</t>
  </si>
  <si>
    <t>total_readmitted</t>
  </si>
  <si>
    <t>not_admitted</t>
  </si>
  <si>
    <t>readmission_rate</t>
  </si>
  <si>
    <t>non_readmission_rate_pct</t>
  </si>
  <si>
    <t>age_group</t>
  </si>
  <si>
    <t>age_mid</t>
  </si>
  <si>
    <t>total_patients</t>
  </si>
  <si>
    <t>readmissions</t>
  </si>
  <si>
    <t>[0-10)</t>
  </si>
  <si>
    <t>[10-20)</t>
  </si>
  <si>
    <t>[20-30)</t>
  </si>
  <si>
    <t>[30-40)</t>
  </si>
  <si>
    <t>[40-50)</t>
  </si>
  <si>
    <t>[50-60)</t>
  </si>
  <si>
    <t>[60-70)</t>
  </si>
  <si>
    <t>[70-80)</t>
  </si>
  <si>
    <t>[80-90)</t>
  </si>
  <si>
    <t>[90-100)</t>
  </si>
  <si>
    <t>diagnosis_category</t>
  </si>
  <si>
    <t>External/Supplementary</t>
  </si>
  <si>
    <t>Injury</t>
  </si>
  <si>
    <t>Circulatory</t>
  </si>
  <si>
    <t>Diabetes</t>
  </si>
  <si>
    <t>Neoplasms</t>
  </si>
  <si>
    <t>Genitourinary</t>
  </si>
  <si>
    <t>Other</t>
  </si>
  <si>
    <t>Musculoskeletal</t>
  </si>
  <si>
    <t>Digestive</t>
  </si>
  <si>
    <t>Respiratory</t>
  </si>
  <si>
    <t>prior_inpatient_group</t>
  </si>
  <si>
    <t>number_inpatient</t>
  </si>
  <si>
    <t>0 prior visits</t>
  </si>
  <si>
    <t>1 prior visit</t>
  </si>
  <si>
    <t>2 prior visits</t>
  </si>
  <si>
    <t>3 to 5 prior visits</t>
  </si>
  <si>
    <t>6 or more prior visits</t>
  </si>
  <si>
    <t>risk_score</t>
  </si>
  <si>
    <t>patient_count</t>
  </si>
  <si>
    <t>disposition_id</t>
  </si>
  <si>
    <t>disposition_label</t>
  </si>
  <si>
    <t>Rehab</t>
  </si>
  <si>
    <t>Discharged to Other Inpatient Care</t>
  </si>
  <si>
    <t>Discharged to Short-Term Hospital</t>
  </si>
  <si>
    <t>Discharged to SNF</t>
  </si>
  <si>
    <t>Discharged to ICF</t>
  </si>
  <si>
    <t>Other (18)</t>
  </si>
  <si>
    <t>Discharged to Home Health</t>
  </si>
  <si>
    <t>Left AMA</t>
  </si>
  <si>
    <t>Discharged to Home</t>
  </si>
  <si>
    <t>Not Mapped</t>
  </si>
  <si>
    <t>Long-Term Care Hospital</t>
  </si>
  <si>
    <t>insulin_change</t>
  </si>
  <si>
    <t>Reduced at Discharge</t>
  </si>
  <si>
    <t>Increased at Discharge</t>
  </si>
  <si>
    <t>Steady (no change)</t>
  </si>
  <si>
    <t>Not Prescribed</t>
  </si>
  <si>
    <t>readmission_status</t>
  </si>
  <si>
    <t>avg_length_of_stay_days</t>
  </si>
  <si>
    <t>avg_lab_procedures</t>
  </si>
  <si>
    <t>avg_non_lab_procedures</t>
  </si>
  <si>
    <t>avg_medications_prescribed</t>
  </si>
  <si>
    <t>avg_prior_visits_total</t>
  </si>
  <si>
    <t>Readmitted (&lt;30 Days)</t>
  </si>
  <si>
    <t>Not Readmitted</t>
  </si>
  <si>
    <t>los_category</t>
  </si>
  <si>
    <t>Short Stay (1-3 Days)</t>
  </si>
  <si>
    <t>Moderate Stay (4-7 Days)</t>
  </si>
  <si>
    <t>Long Stay (8+ Days)</t>
  </si>
  <si>
    <t>metric</t>
  </si>
  <si>
    <t>value</t>
  </si>
  <si>
    <t>context</t>
  </si>
  <si>
    <t>Overall 30-Day Readmission Rate</t>
  </si>
  <si>
    <t>8.98%</t>
  </si>
  <si>
    <t>Baseline — CMS threshold is 15%</t>
  </si>
  <si>
    <t>Total Readmissions in Dataset</t>
  </si>
  <si>
    <t>6285</t>
  </si>
  <si>
    <t>Out of 69,987 total encounters</t>
  </si>
  <si>
    <t>Highest Risk Age Group</t>
  </si>
  <si>
    <t>Highest volume AND elevated readmission rate</t>
  </si>
  <si>
    <t>Patients with 3 or More Prior Inpatient Visits</t>
  </si>
  <si>
    <t>896</t>
  </si>
  <si>
    <t>1.3% of all patients</t>
  </si>
  <si>
    <t>Patients with Insulin Reduced at Discharge</t>
  </si>
  <si>
    <t>7324</t>
  </si>
  <si>
    <t>Associated with elevated readmission risk</t>
  </si>
  <si>
    <t>Est. Readmissions Preventable (20% reduction)</t>
  </si>
  <si>
    <t>1257</t>
  </si>
  <si>
    <t>If targeted interventions achieve 20% reduction in high risk cohorts</t>
  </si>
  <si>
    <t>Relative rate index</t>
  </si>
  <si>
    <t>readmision rate%</t>
  </si>
  <si>
    <t>share of total readmission</t>
  </si>
  <si>
    <t>70 to 80 years</t>
  </si>
  <si>
    <t>A1C Not Tested Rate</t>
  </si>
  <si>
    <t>0%</t>
  </si>
  <si>
    <t>Basic standard of care severely underperformed</t>
  </si>
  <si>
    <t>Risk score</t>
  </si>
  <si>
    <t>Patient score</t>
  </si>
  <si>
    <t>Readmission</t>
  </si>
  <si>
    <t>Readmission rate%</t>
  </si>
  <si>
    <t>High-Risk Concentration (Score ≥4)</t>
  </si>
  <si>
    <t>Estimated Bed-Day Cost  :</t>
  </si>
  <si>
    <t>LOS Category</t>
  </si>
  <si>
    <t>Total Encounters</t>
  </si>
  <si>
    <t>Readmissions</t>
  </si>
  <si>
    <t>Readmission Rate %</t>
  </si>
  <si>
    <t>Total Financial Impact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</si>
</sst>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_ ;\-#,##0\ "/>
    <numFmt numFmtId="165" formatCode="0.0%"/>
    <numFmt numFmtId="170" formatCode="[$$-409]#,##0_ ;\-[$$-409]#,##0\ "/>
    <numFmt numFmtId="171" formatCode="[$$-409]#,##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 Unicode MS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F1115"/>
      <name val="Consolas"/>
      <family val="3"/>
    </font>
    <font>
      <b/>
      <sz val="10"/>
      <color theme="1"/>
      <name val="Calibri"/>
      <family val="2"/>
      <scheme val="minor"/>
    </font>
    <font>
      <i/>
      <sz val="18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2" borderId="0" xfId="0" applyFill="1"/>
    <xf numFmtId="2" fontId="0" fillId="2" borderId="0" xfId="2" applyNumberFormat="1" applyFont="1" applyFill="1"/>
    <xf numFmtId="2" fontId="0" fillId="0" borderId="0" xfId="2" applyNumberFormat="1" applyFont="1"/>
    <xf numFmtId="10" fontId="0" fillId="2" borderId="0" xfId="2" applyNumberFormat="1" applyFont="1" applyFill="1"/>
    <xf numFmtId="164" fontId="0" fillId="2" borderId="0" xfId="1" applyNumberFormat="1" applyFont="1" applyFill="1"/>
    <xf numFmtId="0" fontId="4" fillId="0" borderId="0" xfId="0" applyFont="1" applyAlignment="1">
      <alignment wrapText="1"/>
    </xf>
    <xf numFmtId="0" fontId="4" fillId="0" borderId="0" xfId="0" applyFont="1"/>
    <xf numFmtId="10" fontId="0" fillId="0" borderId="0" xfId="0" applyNumberFormat="1"/>
    <xf numFmtId="165" fontId="5" fillId="0" borderId="0" xfId="0" applyNumberFormat="1" applyFont="1"/>
    <xf numFmtId="165" fontId="4" fillId="0" borderId="0" xfId="0" applyNumberFormat="1" applyFont="1"/>
    <xf numFmtId="2" fontId="4" fillId="0" borderId="0" xfId="0" applyNumberFormat="1" applyFont="1"/>
    <xf numFmtId="10" fontId="0" fillId="0" borderId="0" xfId="2" applyNumberFormat="1" applyFont="1"/>
    <xf numFmtId="10" fontId="2" fillId="0" borderId="0" xfId="2" applyNumberFormat="1" applyFont="1"/>
    <xf numFmtId="10" fontId="2" fillId="0" borderId="0" xfId="0" applyNumberFormat="1" applyFont="1"/>
    <xf numFmtId="0" fontId="2" fillId="0" borderId="0" xfId="0" applyFont="1"/>
    <xf numFmtId="0" fontId="4" fillId="2" borderId="0" xfId="0" applyFont="1" applyFill="1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7" fillId="2" borderId="0" xfId="0" applyFont="1" applyFill="1"/>
    <xf numFmtId="3" fontId="2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3" fontId="2" fillId="2" borderId="0" xfId="0" applyNumberFormat="1" applyFont="1" applyFill="1"/>
    <xf numFmtId="165" fontId="5" fillId="2" borderId="0" xfId="0" applyNumberFormat="1" applyFont="1" applyFill="1"/>
    <xf numFmtId="165" fontId="4" fillId="2" borderId="0" xfId="0" applyNumberFormat="1" applyFont="1" applyFill="1"/>
    <xf numFmtId="2" fontId="4" fillId="2" borderId="0" xfId="0" applyNumberFormat="1" applyFont="1" applyFill="1"/>
    <xf numFmtId="10" fontId="2" fillId="2" borderId="0" xfId="2" applyNumberFormat="1" applyFont="1" applyFill="1"/>
    <xf numFmtId="10" fontId="2" fillId="2" borderId="0" xfId="0" applyNumberFormat="1" applyFont="1" applyFill="1"/>
    <xf numFmtId="0" fontId="2" fillId="2" borderId="0" xfId="0" applyFont="1" applyFill="1"/>
    <xf numFmtId="10" fontId="2" fillId="4" borderId="0" xfId="2" applyNumberFormat="1" applyFont="1" applyFill="1"/>
    <xf numFmtId="2" fontId="0" fillId="2" borderId="0" xfId="0" applyNumberFormat="1" applyFill="1"/>
    <xf numFmtId="3" fontId="0" fillId="2" borderId="0" xfId="0" applyNumberFormat="1" applyFill="1"/>
    <xf numFmtId="0" fontId="11" fillId="2" borderId="10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0" xfId="0" applyFont="1" applyFill="1" applyBorder="1"/>
    <xf numFmtId="0" fontId="0" fillId="2" borderId="10" xfId="0" applyFill="1" applyBorder="1" applyAlignment="1">
      <alignment vertical="center"/>
    </xf>
    <xf numFmtId="0" fontId="10" fillId="2" borderId="0" xfId="0" applyFont="1" applyFill="1"/>
    <xf numFmtId="0" fontId="13" fillId="2" borderId="0" xfId="0" applyFont="1" applyFill="1"/>
    <xf numFmtId="0" fontId="0" fillId="2" borderId="0" xfId="0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3" fontId="0" fillId="2" borderId="0" xfId="0" quotePrefix="1" applyNumberFormat="1" applyFill="1" applyAlignment="1">
      <alignment horizontal="center"/>
    </xf>
    <xf numFmtId="170" fontId="9" fillId="2" borderId="0" xfId="0" applyNumberFormat="1" applyFont="1" applyFill="1"/>
    <xf numFmtId="171" fontId="8" fillId="5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Light16"/>
  <colors>
    <mruColors>
      <color rgb="FFCC2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Impact</a:t>
            </a:r>
            <a:r>
              <a:rPr lang="en-IN" sz="1200" baseline="0"/>
              <a:t> of  medication</a:t>
            </a:r>
            <a:r>
              <a:rPr lang="en-IN" sz="1200"/>
              <a:t> x insuline on 30 days readmission</a:t>
            </a:r>
            <a:r>
              <a:rPr lang="en-IN" sz="1200" baseline="0"/>
              <a:t> </a:t>
            </a:r>
            <a:endParaRPr lang="en-IN" sz="1200"/>
          </a:p>
        </c:rich>
      </c:tx>
      <c:layout>
        <c:manualLayout>
          <c:xMode val="edge"/>
          <c:yMode val="edge"/>
          <c:x val="0.1838333333333333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56075389487038E-2"/>
          <c:y val="0.2511874470637539"/>
          <c:w val="0.5868788541421176"/>
          <c:h val="0.4041792964247572"/>
        </c:manualLayout>
      </c:layout>
      <c:barChart>
        <c:barDir val="col"/>
        <c:grouping val="clustered"/>
        <c:varyColors val="0"/>
        <c:ser>
          <c:idx val="0"/>
          <c:order val="0"/>
          <c:tx>
            <c:v>Increased at Discharge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1-10 Medications (Low)</c:v>
              </c:pt>
              <c:pt idx="1">
                <c:v>11-20 Medications (Moderate)</c:v>
              </c:pt>
              <c:pt idx="2">
                <c:v>21+ Medications (High Polypharmacy)</c:v>
              </c:pt>
            </c:strLit>
          </c:cat>
          <c:val>
            <c:numLit>
              <c:formatCode>General</c:formatCode>
              <c:ptCount val="3"/>
              <c:pt idx="0">
                <c:v>83</c:v>
              </c:pt>
              <c:pt idx="1">
                <c:v>300</c:v>
              </c:pt>
              <c:pt idx="2">
                <c:v>284</c:v>
              </c:pt>
            </c:numLit>
          </c:val>
          <c:extLst>
            <c:ext xmlns:c16="http://schemas.microsoft.com/office/drawing/2014/chart" uri="{C3380CC4-5D6E-409C-BE32-E72D297353CC}">
              <c16:uniqueId val="{00000000-7116-400C-8F64-7752108FE421}"/>
            </c:ext>
          </c:extLst>
        </c:ser>
        <c:ser>
          <c:idx val="1"/>
          <c:order val="1"/>
          <c:tx>
            <c:v>Not Prescribed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1-10 Medications (Low)</c:v>
              </c:pt>
              <c:pt idx="1">
                <c:v>11-20 Medications (Moderate)</c:v>
              </c:pt>
              <c:pt idx="2">
                <c:v>21+ Medications (High Polypharmacy)</c:v>
              </c:pt>
            </c:strLit>
          </c:cat>
          <c:val>
            <c:numLit>
              <c:formatCode>General</c:formatCode>
              <c:ptCount val="3"/>
              <c:pt idx="0">
                <c:v>886</c:v>
              </c:pt>
              <c:pt idx="1">
                <c:v>1418</c:v>
              </c:pt>
              <c:pt idx="2">
                <c:v>539</c:v>
              </c:pt>
            </c:numLit>
          </c:val>
          <c:extLst>
            <c:ext xmlns:c16="http://schemas.microsoft.com/office/drawing/2014/chart" uri="{C3380CC4-5D6E-409C-BE32-E72D297353CC}">
              <c16:uniqueId val="{00000001-7116-400C-8F64-7752108FE421}"/>
            </c:ext>
          </c:extLst>
        </c:ser>
        <c:ser>
          <c:idx val="2"/>
          <c:order val="2"/>
          <c:tx>
            <c:v>Reduced at Discharge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1-10 Medications (Low)</c:v>
              </c:pt>
              <c:pt idx="1">
                <c:v>11-20 Medications (Moderate)</c:v>
              </c:pt>
              <c:pt idx="2">
                <c:v>21+ Medications (High Polypharmacy)</c:v>
              </c:pt>
            </c:strLit>
          </c:cat>
          <c:val>
            <c:numLit>
              <c:formatCode>General</c:formatCode>
              <c:ptCount val="3"/>
              <c:pt idx="0">
                <c:v>98</c:v>
              </c:pt>
              <c:pt idx="1">
                <c:v>403</c:v>
              </c:pt>
              <c:pt idx="2">
                <c:v>271</c:v>
              </c:pt>
            </c:numLit>
          </c:val>
          <c:extLst>
            <c:ext xmlns:c16="http://schemas.microsoft.com/office/drawing/2014/chart" uri="{C3380CC4-5D6E-409C-BE32-E72D297353CC}">
              <c16:uniqueId val="{00000002-7116-400C-8F64-7752108FE421}"/>
            </c:ext>
          </c:extLst>
        </c:ser>
        <c:ser>
          <c:idx val="3"/>
          <c:order val="3"/>
          <c:tx>
            <c:v>Steady (no change)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1-10 Medications (Low)</c:v>
              </c:pt>
              <c:pt idx="1">
                <c:v>11-20 Medications (Moderate)</c:v>
              </c:pt>
              <c:pt idx="2">
                <c:v>21+ Medications (High Polypharmacy)</c:v>
              </c:pt>
            </c:strLit>
          </c:cat>
          <c:val>
            <c:numLit>
              <c:formatCode>General</c:formatCode>
              <c:ptCount val="3"/>
              <c:pt idx="0">
                <c:v>356</c:v>
              </c:pt>
              <c:pt idx="1">
                <c:v>1125</c:v>
              </c:pt>
              <c:pt idx="2">
                <c:v>522</c:v>
              </c:pt>
            </c:numLit>
          </c:val>
          <c:extLst>
            <c:ext xmlns:c16="http://schemas.microsoft.com/office/drawing/2014/chart" uri="{C3380CC4-5D6E-409C-BE32-E72D297353CC}">
              <c16:uniqueId val="{00000003-7116-400C-8F64-7752108FE4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7265168"/>
        <c:axId val="937260368"/>
      </c:barChart>
      <c:catAx>
        <c:axId val="93726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260368"/>
        <c:crosses val="autoZero"/>
        <c:auto val="1"/>
        <c:lblAlgn val="ctr"/>
        <c:lblOffset val="100"/>
        <c:noMultiLvlLbl val="0"/>
      </c:catAx>
      <c:valAx>
        <c:axId val="93726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26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Insuline Change</a:t>
            </a:r>
            <a:r>
              <a:rPr lang="en-IN" baseline="0"/>
              <a:t> </a:t>
            </a:r>
            <a:r>
              <a:rPr lang="en-IN"/>
              <a:t>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95000"/>
            </a:schemeClr>
          </a:soli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Sum of total_encounters</c:v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Increased at Discharge</c:v>
              </c:pt>
              <c:pt idx="1">
                <c:v>Not Prescribed</c:v>
              </c:pt>
              <c:pt idx="2">
                <c:v>Reduced at Discharge</c:v>
              </c:pt>
              <c:pt idx="3">
                <c:v>Steady (no change)</c:v>
              </c:pt>
            </c:strLit>
          </c:cat>
          <c:val>
            <c:numLit>
              <c:formatCode>General</c:formatCode>
              <c:ptCount val="4"/>
              <c:pt idx="0">
                <c:v>6777</c:v>
              </c:pt>
              <c:pt idx="1">
                <c:v>34265</c:v>
              </c:pt>
              <c:pt idx="2">
                <c:v>7324</c:v>
              </c:pt>
              <c:pt idx="3">
                <c:v>21621</c:v>
              </c:pt>
            </c:numLit>
          </c:val>
          <c:extLst>
            <c:ext xmlns:c16="http://schemas.microsoft.com/office/drawing/2014/chart" uri="{C3380CC4-5D6E-409C-BE32-E72D297353CC}">
              <c16:uniqueId val="{00000000-2EE5-4317-8792-711A7D72261D}"/>
            </c:ext>
          </c:extLst>
        </c:ser>
        <c:ser>
          <c:idx val="1"/>
          <c:order val="1"/>
          <c:tx>
            <c:v>Sum of readmissions</c:v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Increased at Discharge</c:v>
              </c:pt>
              <c:pt idx="1">
                <c:v>Not Prescribed</c:v>
              </c:pt>
              <c:pt idx="2">
                <c:v>Reduced at Discharge</c:v>
              </c:pt>
              <c:pt idx="3">
                <c:v>Steady (no change)</c:v>
              </c:pt>
            </c:strLit>
          </c:cat>
          <c:val>
            <c:numLit>
              <c:formatCode>General</c:formatCode>
              <c:ptCount val="4"/>
              <c:pt idx="0">
                <c:v>667</c:v>
              </c:pt>
              <c:pt idx="1">
                <c:v>2843</c:v>
              </c:pt>
              <c:pt idx="2">
                <c:v>772</c:v>
              </c:pt>
              <c:pt idx="3">
                <c:v>2003</c:v>
              </c:pt>
            </c:numLit>
          </c:val>
          <c:extLst>
            <c:ext xmlns:c16="http://schemas.microsoft.com/office/drawing/2014/chart" uri="{C3380CC4-5D6E-409C-BE32-E72D297353CC}">
              <c16:uniqueId val="{00000001-2EE5-4317-8792-711A7D7226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96891568"/>
        <c:axId val="1296892048"/>
      </c:barChart>
      <c:catAx>
        <c:axId val="129689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92048"/>
        <c:crosses val="autoZero"/>
        <c:auto val="1"/>
        <c:lblAlgn val="ctr"/>
        <c:lblOffset val="100"/>
        <c:noMultiLvlLbl val="0"/>
      </c:catAx>
      <c:valAx>
        <c:axId val="12968920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689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748053368328954"/>
          <c:y val="0.24224250006132411"/>
          <c:w val="0.29585279965004374"/>
          <c:h val="0.570148404346652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Readmissions by Length of Stay</a:t>
            </a:r>
          </a:p>
        </c:rich>
      </c:tx>
      <c:layout>
        <c:manualLayout>
          <c:xMode val="edge"/>
          <c:yMode val="edge"/>
          <c:x val="0.16605607982208331"/>
          <c:y val="2.7719927633066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Utilization_Cost!$C$14</c:f>
              <c:strCache>
                <c:ptCount val="1"/>
                <c:pt idx="0">
                  <c:v>Total Encounters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Utilization_Cost!$B$15:$B$17</c:f>
              <c:strCache>
                <c:ptCount val="3"/>
                <c:pt idx="0">
                  <c:v>Short Stay (1-3 Days)</c:v>
                </c:pt>
                <c:pt idx="1">
                  <c:v>Moderate Stay (4-7 Days)</c:v>
                </c:pt>
                <c:pt idx="2">
                  <c:v>Long Stay (8+ Days)</c:v>
                </c:pt>
              </c:strCache>
            </c:strRef>
          </c:cat>
          <c:val>
            <c:numRef>
              <c:f>Utilization_Cost!$C$15:$C$17</c:f>
              <c:numCache>
                <c:formatCode>General</c:formatCode>
                <c:ptCount val="3"/>
                <c:pt idx="0">
                  <c:v>35144</c:v>
                </c:pt>
                <c:pt idx="1">
                  <c:v>25075</c:v>
                </c:pt>
                <c:pt idx="2">
                  <c:v>9768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5-45B6-B2EA-F9BBFCD14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2741504"/>
        <c:axId val="722779984"/>
      </c:barChart>
      <c:lineChart>
        <c:grouping val="standard"/>
        <c:varyColors val="0"/>
        <c:ser>
          <c:idx val="2"/>
          <c:order val="1"/>
          <c:tx>
            <c:strRef>
              <c:f>Utilization_Cost!$E$14</c:f>
              <c:strCache>
                <c:ptCount val="1"/>
                <c:pt idx="0">
                  <c:v>Readmission Rate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Utilization_Cost!$B$15:$B$17</c:f>
              <c:strCache>
                <c:ptCount val="3"/>
                <c:pt idx="0">
                  <c:v>Short Stay (1-3 Days)</c:v>
                </c:pt>
                <c:pt idx="1">
                  <c:v>Moderate Stay (4-7 Days)</c:v>
                </c:pt>
                <c:pt idx="2">
                  <c:v>Long Stay (8+ Days)</c:v>
                </c:pt>
              </c:strCache>
            </c:strRef>
          </c:cat>
          <c:val>
            <c:numRef>
              <c:f>Utilization_Cost!$E$15:$E$17</c:f>
              <c:numCache>
                <c:formatCode>General</c:formatCode>
                <c:ptCount val="3"/>
                <c:pt idx="0">
                  <c:v>7.53</c:v>
                </c:pt>
                <c:pt idx="1">
                  <c:v>9.91</c:v>
                </c:pt>
                <c:pt idx="2">
                  <c:v>11.79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5-45B6-B2EA-F9BBFCD14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1178640"/>
        <c:axId val="685549168"/>
      </c:lineChart>
      <c:catAx>
        <c:axId val="72274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779984"/>
        <c:crosses val="autoZero"/>
        <c:auto val="1"/>
        <c:lblAlgn val="ctr"/>
        <c:lblOffset val="100"/>
        <c:noMultiLvlLbl val="0"/>
      </c:catAx>
      <c:valAx>
        <c:axId val="7227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741504"/>
        <c:crosses val="autoZero"/>
        <c:crossBetween val="between"/>
      </c:valAx>
      <c:valAx>
        <c:axId val="6855491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78640"/>
        <c:crosses val="max"/>
        <c:crossBetween val="between"/>
      </c:valAx>
      <c:catAx>
        <c:axId val="110117864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685549168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63096</xdr:colOff>
      <xdr:row>0</xdr:row>
      <xdr:rowOff>54616</xdr:rowOff>
    </xdr:from>
    <xdr:to>
      <xdr:col>11</xdr:col>
      <xdr:colOff>1074420</xdr:colOff>
      <xdr:row>2</xdr:row>
      <xdr:rowOff>83820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1CE05AD-CC0A-49F4-8419-A23690B3572F}"/>
            </a:ext>
          </a:extLst>
        </xdr:cNvPr>
        <xdr:cNvSpPr/>
      </xdr:nvSpPr>
      <xdr:spPr>
        <a:xfrm>
          <a:off x="63096" y="54616"/>
          <a:ext cx="12471804" cy="425444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600" b="1"/>
        </a:p>
      </xdr:txBody>
    </xdr:sp>
    <xdr:clientData/>
  </xdr:twoCellAnchor>
  <xdr:twoCellAnchor>
    <xdr:from>
      <xdr:col>16</xdr:col>
      <xdr:colOff>682615</xdr:colOff>
      <xdr:row>3</xdr:row>
      <xdr:rowOff>31192</xdr:rowOff>
    </xdr:from>
    <xdr:to>
      <xdr:col>18</xdr:col>
      <xdr:colOff>125267</xdr:colOff>
      <xdr:row>5</xdr:row>
      <xdr:rowOff>137059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4EEF885-2BD5-46EF-96DC-890D9C3088A0}"/>
            </a:ext>
          </a:extLst>
        </xdr:cNvPr>
        <xdr:cNvSpPr/>
      </xdr:nvSpPr>
      <xdr:spPr>
        <a:xfrm>
          <a:off x="10517858" y="613578"/>
          <a:ext cx="1249680" cy="661038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latin typeface="+mn-lt"/>
            </a:rPr>
            <a:t>Excess</a:t>
          </a:r>
          <a:r>
            <a:rPr lang="en-IN" sz="800" b="1" baseline="0">
              <a:latin typeface="+mn-lt"/>
            </a:rPr>
            <a:t> readmit target</a:t>
          </a:r>
          <a:endParaRPr lang="en-IN" sz="800" b="1">
            <a:latin typeface="+mn-lt"/>
          </a:endParaRPr>
        </a:p>
      </xdr:txBody>
    </xdr:sp>
    <xdr:clientData/>
  </xdr:twoCellAnchor>
  <xdr:twoCellAnchor>
    <xdr:from>
      <xdr:col>16</xdr:col>
      <xdr:colOff>950585</xdr:colOff>
      <xdr:row>4</xdr:row>
      <xdr:rowOff>0</xdr:rowOff>
    </xdr:from>
    <xdr:to>
      <xdr:col>17</xdr:col>
      <xdr:colOff>493748</xdr:colOff>
      <xdr:row>4</xdr:row>
      <xdr:rowOff>128869</xdr:rowOff>
    </xdr:to>
    <xdr:sp macro="" textlink="$V$4">
      <xdr:nvSpPr>
        <xdr:cNvPr id="8" name="TextBox 7">
          <a:extLst>
            <a:ext uri="{FF2B5EF4-FFF2-40B4-BE49-F238E27FC236}">
              <a16:creationId xmlns:a16="http://schemas.microsoft.com/office/drawing/2014/main" id="{F5ABCABC-405E-40F7-A7D9-E6128DA49D74}"/>
            </a:ext>
          </a:extLst>
        </xdr:cNvPr>
        <xdr:cNvSpPr txBox="1"/>
      </xdr:nvSpPr>
      <xdr:spPr>
        <a:xfrm>
          <a:off x="10785828" y="875292"/>
          <a:ext cx="756920" cy="206077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6D106AF-AC34-4617-AC7B-5427B8F4B63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-4213</a:t>
          </a:fld>
          <a:endParaRPr lang="en-IN" sz="1100" b="1"/>
        </a:p>
      </xdr:txBody>
    </xdr:sp>
    <xdr:clientData/>
  </xdr:twoCellAnchor>
  <xdr:twoCellAnchor>
    <xdr:from>
      <xdr:col>0</xdr:col>
      <xdr:colOff>571499</xdr:colOff>
      <xdr:row>0</xdr:row>
      <xdr:rowOff>111035</xdr:rowOff>
    </xdr:from>
    <xdr:to>
      <xdr:col>8</xdr:col>
      <xdr:colOff>148936</xdr:colOff>
      <xdr:row>1</xdr:row>
      <xdr:rowOff>203563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F1FD08A-9B4D-4805-AE13-5BFE0348A88A}"/>
            </a:ext>
          </a:extLst>
        </xdr:cNvPr>
        <xdr:cNvSpPr txBox="1"/>
      </xdr:nvSpPr>
      <xdr:spPr>
        <a:xfrm>
          <a:off x="571499" y="111035"/>
          <a:ext cx="6907877" cy="275408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effectLst/>
            </a:rPr>
            <a:t>Clinical</a:t>
          </a:r>
          <a:r>
            <a:rPr lang="en-IN" sz="1400" b="1" baseline="0">
              <a:effectLst/>
            </a:rPr>
            <a:t> Risk Analysis</a:t>
          </a:r>
          <a:endParaRPr lang="en-IN" sz="1400" b="1">
            <a:effectLst/>
          </a:endParaRPr>
        </a:p>
        <a:p>
          <a:pPr algn="ctr"/>
          <a:endParaRPr lang="en-IN" sz="1400" b="1"/>
        </a:p>
      </xdr:txBody>
    </xdr:sp>
    <xdr:clientData/>
  </xdr:twoCellAnchor>
  <xdr:twoCellAnchor editAs="oneCell">
    <xdr:from>
      <xdr:col>0</xdr:col>
      <xdr:colOff>576942</xdr:colOff>
      <xdr:row>0</xdr:row>
      <xdr:rowOff>10885</xdr:rowOff>
    </xdr:from>
    <xdr:to>
      <xdr:col>1</xdr:col>
      <xdr:colOff>865809</xdr:colOff>
      <xdr:row>2</xdr:row>
      <xdr:rowOff>100099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9345FE3-029B-4657-85AB-D1A3FC19A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2" y="10885"/>
          <a:ext cx="876300" cy="485454"/>
        </a:xfrm>
        <a:prstGeom prst="rect">
          <a:avLst/>
        </a:prstGeom>
      </xdr:spPr>
    </xdr:pic>
    <xdr:clientData/>
  </xdr:twoCellAnchor>
  <xdr:twoCellAnchor>
    <xdr:from>
      <xdr:col>0</xdr:col>
      <xdr:colOff>145473</xdr:colOff>
      <xdr:row>4</xdr:row>
      <xdr:rowOff>62347</xdr:rowOff>
    </xdr:from>
    <xdr:to>
      <xdr:col>7</xdr:col>
      <xdr:colOff>346364</xdr:colOff>
      <xdr:row>12</xdr:row>
      <xdr:rowOff>6929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69F7824-3761-660E-CC04-6259F4D5A317}"/>
            </a:ext>
          </a:extLst>
        </xdr:cNvPr>
        <xdr:cNvSpPr/>
      </xdr:nvSpPr>
      <xdr:spPr>
        <a:xfrm>
          <a:off x="145473" y="817420"/>
          <a:ext cx="7377546" cy="1385454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1">
              <a:lumMod val="9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1064029</xdr:colOff>
      <xdr:row>3</xdr:row>
      <xdr:rowOff>148937</xdr:rowOff>
    </xdr:from>
    <xdr:to>
      <xdr:col>11</xdr:col>
      <xdr:colOff>731521</xdr:colOff>
      <xdr:row>13</xdr:row>
      <xdr:rowOff>137160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735901D-859D-1924-FEB0-4FB96FF5E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187038</xdr:colOff>
      <xdr:row>5</xdr:row>
      <xdr:rowOff>27710</xdr:rowOff>
    </xdr:from>
    <xdr:to>
      <xdr:col>7</xdr:col>
      <xdr:colOff>205917</xdr:colOff>
      <xdr:row>11</xdr:row>
      <xdr:rowOff>69273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CC9B124-03CB-ED10-642F-616D441F2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38" y="962892"/>
          <a:ext cx="6254117" cy="1122217"/>
        </a:xfrm>
        <a:prstGeom prst="rect">
          <a:avLst/>
        </a:prstGeom>
        <a:noFill/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1082040</xdr:colOff>
      <xdr:row>14</xdr:row>
      <xdr:rowOff>118803</xdr:rowOff>
    </xdr:from>
    <xdr:to>
      <xdr:col>11</xdr:col>
      <xdr:colOff>741218</xdr:colOff>
      <xdr:row>25</xdr:row>
      <xdr:rowOff>145473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D3155AE-5BBE-39C1-602E-366D91B26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526667</xdr:colOff>
      <xdr:row>4</xdr:row>
      <xdr:rowOff>98099</xdr:rowOff>
    </xdr:from>
    <xdr:to>
      <xdr:col>9</xdr:col>
      <xdr:colOff>426720</xdr:colOff>
      <xdr:row>8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C5CBA5A-6DA5-4CA0-8788-D82097DAD65F}"/>
            </a:ext>
          </a:extLst>
        </xdr:cNvPr>
        <xdr:cNvSpPr/>
      </xdr:nvSpPr>
      <xdr:spPr>
        <a:xfrm>
          <a:off x="6381367" y="866449"/>
          <a:ext cx="1728853" cy="676601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Difference</a:t>
          </a:r>
        </a:p>
        <a:p>
          <a:pPr algn="ctr"/>
          <a:endParaRPr lang="en-IN" sz="800" b="1">
            <a:latin typeface="+mn-lt"/>
          </a:endParaRPr>
        </a:p>
      </xdr:txBody>
    </xdr:sp>
    <xdr:clientData/>
  </xdr:twoCellAnchor>
  <xdr:twoCellAnchor>
    <xdr:from>
      <xdr:col>0</xdr:col>
      <xdr:colOff>63096</xdr:colOff>
      <xdr:row>0</xdr:row>
      <xdr:rowOff>54616</xdr:rowOff>
    </xdr:from>
    <xdr:to>
      <xdr:col>15</xdr:col>
      <xdr:colOff>426720</xdr:colOff>
      <xdr:row>2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2467E9A-6A6F-49EF-83F1-0A798B9D9717}"/>
            </a:ext>
          </a:extLst>
        </xdr:cNvPr>
        <xdr:cNvSpPr/>
      </xdr:nvSpPr>
      <xdr:spPr>
        <a:xfrm>
          <a:off x="63096" y="54616"/>
          <a:ext cx="11786004" cy="417824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600" b="1"/>
        </a:p>
      </xdr:txBody>
    </xdr:sp>
    <xdr:clientData/>
  </xdr:twoCellAnchor>
  <xdr:twoCellAnchor>
    <xdr:from>
      <xdr:col>1</xdr:col>
      <xdr:colOff>29936</xdr:colOff>
      <xdr:row>4</xdr:row>
      <xdr:rowOff>168372</xdr:rowOff>
    </xdr:from>
    <xdr:to>
      <xdr:col>2</xdr:col>
      <xdr:colOff>533400</xdr:colOff>
      <xdr:row>8</xdr:row>
      <xdr:rowOff>44632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F30C94A-C736-49DC-833C-100862599098}"/>
            </a:ext>
          </a:extLst>
        </xdr:cNvPr>
        <xdr:cNvSpPr/>
      </xdr:nvSpPr>
      <xdr:spPr>
        <a:xfrm>
          <a:off x="639536" y="747492"/>
          <a:ext cx="2065564" cy="607780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Readmitted Avg LOS</a:t>
          </a:r>
        </a:p>
        <a:p>
          <a:pPr algn="ctr"/>
          <a:endParaRPr lang="en-IN" sz="800" b="1">
            <a:latin typeface="+mn-lt"/>
          </a:endParaRPr>
        </a:p>
      </xdr:txBody>
    </xdr:sp>
    <xdr:clientData/>
  </xdr:twoCellAnchor>
  <xdr:twoCellAnchor>
    <xdr:from>
      <xdr:col>1</xdr:col>
      <xdr:colOff>231865</xdr:colOff>
      <xdr:row>6</xdr:row>
      <xdr:rowOff>83457</xdr:rowOff>
    </xdr:from>
    <xdr:to>
      <xdr:col>2</xdr:col>
      <xdr:colOff>437672</xdr:colOff>
      <xdr:row>7</xdr:row>
      <xdr:rowOff>72978</xdr:rowOff>
    </xdr:to>
    <xdr:sp macro="" textlink="$AD$6">
      <xdr:nvSpPr>
        <xdr:cNvPr id="5" name="TextBox 4">
          <a:extLst>
            <a:ext uri="{FF2B5EF4-FFF2-40B4-BE49-F238E27FC236}">
              <a16:creationId xmlns:a16="http://schemas.microsoft.com/office/drawing/2014/main" id="{784F68DA-FA4F-4348-AB29-FBE8F71C29C6}"/>
            </a:ext>
          </a:extLst>
        </xdr:cNvPr>
        <xdr:cNvSpPr txBox="1"/>
      </xdr:nvSpPr>
      <xdr:spPr>
        <a:xfrm>
          <a:off x="841465" y="1028337"/>
          <a:ext cx="815407" cy="172401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021E2FF-CE13-41EB-ABD1-9173EE4DD6D4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4.79</a:t>
          </a:fld>
          <a:endParaRPr lang="en-US" sz="1400" b="1"/>
        </a:p>
      </xdr:txBody>
    </xdr:sp>
    <xdr:clientData/>
  </xdr:twoCellAnchor>
  <xdr:twoCellAnchor>
    <xdr:from>
      <xdr:col>7</xdr:col>
      <xdr:colOff>341610</xdr:colOff>
      <xdr:row>6</xdr:row>
      <xdr:rowOff>89666</xdr:rowOff>
    </xdr:from>
    <xdr:to>
      <xdr:col>8</xdr:col>
      <xdr:colOff>572790</xdr:colOff>
      <xdr:row>7</xdr:row>
      <xdr:rowOff>82899</xdr:rowOff>
    </xdr:to>
    <xdr:sp macro="" textlink="$AD$8">
      <xdr:nvSpPr>
        <xdr:cNvPr id="6" name="cms variance">
          <a:extLst>
            <a:ext uri="{FF2B5EF4-FFF2-40B4-BE49-F238E27FC236}">
              <a16:creationId xmlns:a16="http://schemas.microsoft.com/office/drawing/2014/main" id="{8F654F98-E839-48BF-AFA9-7EC45A918EBC}"/>
            </a:ext>
          </a:extLst>
        </xdr:cNvPr>
        <xdr:cNvSpPr txBox="1"/>
      </xdr:nvSpPr>
      <xdr:spPr>
        <a:xfrm>
          <a:off x="6805910" y="1226316"/>
          <a:ext cx="840780" cy="177383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659CC4D-ED2C-431D-940A-641F56400D72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0.57</a:t>
          </a:fld>
          <a:endParaRPr lang="en-US" sz="1400" b="1"/>
        </a:p>
      </xdr:txBody>
    </xdr:sp>
    <xdr:clientData/>
  </xdr:twoCellAnchor>
  <xdr:twoCellAnchor>
    <xdr:from>
      <xdr:col>11</xdr:col>
      <xdr:colOff>278130</xdr:colOff>
      <xdr:row>4</xdr:row>
      <xdr:rowOff>94874</xdr:rowOff>
    </xdr:from>
    <xdr:to>
      <xdr:col>14</xdr:col>
      <xdr:colOff>200659</xdr:colOff>
      <xdr:row>8</xdr:row>
      <xdr:rowOff>64769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69C31E3-1F3E-430E-9C61-6FBE3541D2A2}"/>
            </a:ext>
          </a:extLst>
        </xdr:cNvPr>
        <xdr:cNvSpPr/>
      </xdr:nvSpPr>
      <xdr:spPr>
        <a:xfrm>
          <a:off x="9180830" y="863224"/>
          <a:ext cx="1751329" cy="706495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>
              <a:latin typeface="+mn-lt"/>
            </a:rPr>
            <a:t>Excess Bed Days Drag</a:t>
          </a:r>
        </a:p>
      </xdr:txBody>
    </xdr:sp>
    <xdr:clientData/>
  </xdr:twoCellAnchor>
  <xdr:twoCellAnchor>
    <xdr:from>
      <xdr:col>11</xdr:col>
      <xdr:colOff>570491</xdr:colOff>
      <xdr:row>6</xdr:row>
      <xdr:rowOff>41991</xdr:rowOff>
    </xdr:from>
    <xdr:to>
      <xdr:col>13</xdr:col>
      <xdr:colOff>410979</xdr:colOff>
      <xdr:row>7</xdr:row>
      <xdr:rowOff>77624</xdr:rowOff>
    </xdr:to>
    <xdr:sp macro="" textlink="$AD$9">
      <xdr:nvSpPr>
        <xdr:cNvPr id="8" name="TextBox 7">
          <a:extLst>
            <a:ext uri="{FF2B5EF4-FFF2-40B4-BE49-F238E27FC236}">
              <a16:creationId xmlns:a16="http://schemas.microsoft.com/office/drawing/2014/main" id="{6B79D2DB-98E5-4BF8-B7CF-63AA1EF16D8B}"/>
            </a:ext>
          </a:extLst>
        </xdr:cNvPr>
        <xdr:cNvSpPr txBox="1"/>
      </xdr:nvSpPr>
      <xdr:spPr>
        <a:xfrm>
          <a:off x="9473191" y="1178641"/>
          <a:ext cx="1059688" cy="219783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C8C66EF-AB0F-4C71-B2A1-7435F08AB73D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3,582</a:t>
          </a:fld>
          <a:endParaRPr lang="en-US" sz="1600" b="1"/>
        </a:p>
      </xdr:txBody>
    </xdr:sp>
    <xdr:clientData/>
  </xdr:twoCellAnchor>
  <xdr:twoCellAnchor>
    <xdr:from>
      <xdr:col>3</xdr:col>
      <xdr:colOff>388620</xdr:colOff>
      <xdr:row>4</xdr:row>
      <xdr:rowOff>121564</xdr:rowOff>
    </xdr:from>
    <xdr:to>
      <xdr:col>5</xdr:col>
      <xdr:colOff>274319</xdr:colOff>
      <xdr:row>8</xdr:row>
      <xdr:rowOff>34835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0388447-CF2E-4EC0-A763-5C517F8645C9}"/>
            </a:ext>
          </a:extLst>
        </xdr:cNvPr>
        <xdr:cNvSpPr/>
      </xdr:nvSpPr>
      <xdr:spPr>
        <a:xfrm>
          <a:off x="3581400" y="700684"/>
          <a:ext cx="1935479" cy="644791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Non‑Readmitted Avg LOS</a:t>
          </a:r>
          <a:endParaRPr lang="en-IN" sz="900" b="1">
            <a:latin typeface="+mn-lt"/>
          </a:endParaRPr>
        </a:p>
      </xdr:txBody>
    </xdr:sp>
    <xdr:clientData/>
  </xdr:twoCellAnchor>
  <xdr:twoCellAnchor>
    <xdr:from>
      <xdr:col>3</xdr:col>
      <xdr:colOff>814251</xdr:colOff>
      <xdr:row>6</xdr:row>
      <xdr:rowOff>94705</xdr:rowOff>
    </xdr:from>
    <xdr:to>
      <xdr:col>4</xdr:col>
      <xdr:colOff>935563</xdr:colOff>
      <xdr:row>7</xdr:row>
      <xdr:rowOff>86857</xdr:rowOff>
    </xdr:to>
    <xdr:sp macro="" textlink="$AD$7">
      <xdr:nvSpPr>
        <xdr:cNvPr id="10" name="TextBox 9">
          <a:extLst>
            <a:ext uri="{FF2B5EF4-FFF2-40B4-BE49-F238E27FC236}">
              <a16:creationId xmlns:a16="http://schemas.microsoft.com/office/drawing/2014/main" id="{377050D0-FFAC-4E64-AB5A-2CDAF24C4A24}"/>
            </a:ext>
          </a:extLst>
        </xdr:cNvPr>
        <xdr:cNvSpPr txBox="1"/>
      </xdr:nvSpPr>
      <xdr:spPr>
        <a:xfrm>
          <a:off x="4007031" y="1039585"/>
          <a:ext cx="944272" cy="175032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EE0AB4-C5B2-4475-8003-A9C1E5EADC4E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4.22</a:t>
          </a:fld>
          <a:endParaRPr lang="en-IN" sz="1400" b="1"/>
        </a:p>
      </xdr:txBody>
    </xdr:sp>
    <xdr:clientData/>
  </xdr:twoCellAnchor>
  <xdr:twoCellAnchor>
    <xdr:from>
      <xdr:col>1</xdr:col>
      <xdr:colOff>601980</xdr:colOff>
      <xdr:row>0</xdr:row>
      <xdr:rowOff>80554</xdr:rowOff>
    </xdr:from>
    <xdr:to>
      <xdr:col>8</xdr:col>
      <xdr:colOff>121920</xdr:colOff>
      <xdr:row>2</xdr:row>
      <xdr:rowOff>68579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B248B20-9F22-4FAD-A360-6879A5E2F417}"/>
            </a:ext>
          </a:extLst>
        </xdr:cNvPr>
        <xdr:cNvSpPr txBox="1"/>
      </xdr:nvSpPr>
      <xdr:spPr>
        <a:xfrm>
          <a:off x="1211580" y="80554"/>
          <a:ext cx="5981700" cy="384265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Utilization &amp; Cost Impact Analysis</a:t>
          </a:r>
          <a:endParaRPr lang="en-IN" sz="1800" b="1">
            <a:effectLst/>
          </a:endParaRPr>
        </a:p>
        <a:p>
          <a:pPr algn="ctr"/>
          <a:endParaRPr lang="en-IN" sz="1400"/>
        </a:p>
      </xdr:txBody>
    </xdr:sp>
    <xdr:clientData/>
  </xdr:twoCellAnchor>
  <xdr:twoCellAnchor editAs="oneCell">
    <xdr:from>
      <xdr:col>0</xdr:col>
      <xdr:colOff>287382</xdr:colOff>
      <xdr:row>0</xdr:row>
      <xdr:rowOff>41365</xdr:rowOff>
    </xdr:from>
    <xdr:to>
      <xdr:col>1</xdr:col>
      <xdr:colOff>554082</xdr:colOff>
      <xdr:row>2</xdr:row>
      <xdr:rowOff>68580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55E2FAF-D08A-41C9-B474-A3296A872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382" y="41365"/>
          <a:ext cx="876300" cy="423455"/>
        </a:xfrm>
        <a:prstGeom prst="rect">
          <a:avLst/>
        </a:prstGeom>
      </xdr:spPr>
    </xdr:pic>
    <xdr:clientData/>
  </xdr:twoCellAnchor>
  <xdr:twoCellAnchor>
    <xdr:from>
      <xdr:col>0</xdr:col>
      <xdr:colOff>91440</xdr:colOff>
      <xdr:row>10</xdr:row>
      <xdr:rowOff>160020</xdr:rowOff>
    </xdr:from>
    <xdr:to>
      <xdr:col>20</xdr:col>
      <xdr:colOff>533400</xdr:colOff>
      <xdr:row>11</xdr:row>
      <xdr:rowOff>22860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B279AB6-3FD4-18C8-A71A-65C4CF998F2A}"/>
            </a:ext>
          </a:extLst>
        </xdr:cNvPr>
        <xdr:cNvCxnSpPr/>
      </xdr:nvCxnSpPr>
      <xdr:spPr>
        <a:xfrm flipV="1">
          <a:off x="91440" y="1950720"/>
          <a:ext cx="13769340" cy="4572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88900</xdr:colOff>
      <xdr:row>11</xdr:row>
      <xdr:rowOff>120650</xdr:rowOff>
    </xdr:from>
    <xdr:to>
      <xdr:col>14</xdr:col>
      <xdr:colOff>424180</xdr:colOff>
      <xdr:row>21</xdr:row>
      <xdr:rowOff>173990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A5ACA78-D429-56FB-C597-7D0CD631F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496187</xdr:colOff>
      <xdr:row>3</xdr:row>
      <xdr:rowOff>14279</xdr:rowOff>
    </xdr:from>
    <xdr:to>
      <xdr:col>10</xdr:col>
      <xdr:colOff>582384</xdr:colOff>
      <xdr:row>6</xdr:row>
      <xdr:rowOff>125186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AE84A51-2964-43D4-8F61-41595264E46D}"/>
            </a:ext>
          </a:extLst>
        </xdr:cNvPr>
        <xdr:cNvSpPr/>
      </xdr:nvSpPr>
      <xdr:spPr>
        <a:xfrm>
          <a:off x="5372987" y="596665"/>
          <a:ext cx="1305397" cy="666078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latin typeface="+mn-lt"/>
            </a:rPr>
            <a:t>CMS</a:t>
          </a:r>
          <a:r>
            <a:rPr lang="en-IN" sz="800" b="1" baseline="0">
              <a:latin typeface="+mn-lt"/>
            </a:rPr>
            <a:t> Variance</a:t>
          </a:r>
          <a:endParaRPr lang="en-IN" sz="800" b="1">
            <a:latin typeface="+mn-lt"/>
          </a:endParaRPr>
        </a:p>
      </xdr:txBody>
    </xdr:sp>
    <xdr:clientData/>
  </xdr:twoCellAnchor>
  <xdr:twoCellAnchor>
    <xdr:from>
      <xdr:col>0</xdr:col>
      <xdr:colOff>63095</xdr:colOff>
      <xdr:row>0</xdr:row>
      <xdr:rowOff>54616</xdr:rowOff>
    </xdr:from>
    <xdr:to>
      <xdr:col>16</xdr:col>
      <xdr:colOff>1178168</xdr:colOff>
      <xdr:row>2</xdr:row>
      <xdr:rowOff>83860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F43204A-398C-D231-E66D-2D37C856E4E8}"/>
            </a:ext>
          </a:extLst>
        </xdr:cNvPr>
        <xdr:cNvSpPr/>
      </xdr:nvSpPr>
      <xdr:spPr>
        <a:xfrm>
          <a:off x="63095" y="54616"/>
          <a:ext cx="10950735" cy="421967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600" b="1"/>
        </a:p>
      </xdr:txBody>
    </xdr:sp>
    <xdr:clientData/>
  </xdr:twoCellAnchor>
  <xdr:twoCellAnchor>
    <xdr:from>
      <xdr:col>0</xdr:col>
      <xdr:colOff>235676</xdr:colOff>
      <xdr:row>2</xdr:row>
      <xdr:rowOff>183612</xdr:rowOff>
    </xdr:from>
    <xdr:to>
      <xdr:col>2</xdr:col>
      <xdr:colOff>321128</xdr:colOff>
      <xdr:row>6</xdr:row>
      <xdr:rowOff>59872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1C09381F-80ED-4818-914E-CA9D3411138F}"/>
            </a:ext>
          </a:extLst>
        </xdr:cNvPr>
        <xdr:cNvSpPr/>
      </xdr:nvSpPr>
      <xdr:spPr>
        <a:xfrm>
          <a:off x="235676" y="580941"/>
          <a:ext cx="1304652" cy="616488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latin typeface="+mn-lt"/>
            </a:rPr>
            <a:t>Total encounter</a:t>
          </a:r>
        </a:p>
      </xdr:txBody>
    </xdr:sp>
    <xdr:clientData/>
  </xdr:twoCellAnchor>
  <xdr:twoCellAnchor>
    <xdr:from>
      <xdr:col>0</xdr:col>
      <xdr:colOff>452845</xdr:colOff>
      <xdr:row>4</xdr:row>
      <xdr:rowOff>83457</xdr:rowOff>
    </xdr:from>
    <xdr:to>
      <xdr:col>2</xdr:col>
      <xdr:colOff>49052</xdr:colOff>
      <xdr:row>5</xdr:row>
      <xdr:rowOff>72978</xdr:rowOff>
    </xdr:to>
    <xdr:sp macro="" textlink="$V$1">
      <xdr:nvSpPr>
        <xdr:cNvPr id="8" name="TextBox 7">
          <a:extLst>
            <a:ext uri="{FF2B5EF4-FFF2-40B4-BE49-F238E27FC236}">
              <a16:creationId xmlns:a16="http://schemas.microsoft.com/office/drawing/2014/main" id="{FD1D160C-674F-4EA7-8AB0-F82C6C34ACCA}"/>
            </a:ext>
          </a:extLst>
        </xdr:cNvPr>
        <xdr:cNvSpPr txBox="1"/>
      </xdr:nvSpPr>
      <xdr:spPr>
        <a:xfrm>
          <a:off x="452845" y="850900"/>
          <a:ext cx="815407" cy="174578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5A13337-5A38-4296-A46F-ED74894E7A78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69,987</a:t>
          </a:fld>
          <a:endParaRPr lang="en-IN" sz="1100" b="1"/>
        </a:p>
      </xdr:txBody>
    </xdr:sp>
    <xdr:clientData/>
  </xdr:twoCellAnchor>
  <xdr:twoCellAnchor>
    <xdr:from>
      <xdr:col>9</xdr:col>
      <xdr:colOff>204450</xdr:colOff>
      <xdr:row>4</xdr:row>
      <xdr:rowOff>104906</xdr:rowOff>
    </xdr:from>
    <xdr:to>
      <xdr:col>10</xdr:col>
      <xdr:colOff>229694</xdr:colOff>
      <xdr:row>5</xdr:row>
      <xdr:rowOff>94999</xdr:rowOff>
    </xdr:to>
    <xdr:sp macro="" textlink="$V$3">
      <xdr:nvSpPr>
        <xdr:cNvPr id="12" name="cms variance">
          <a:extLst>
            <a:ext uri="{FF2B5EF4-FFF2-40B4-BE49-F238E27FC236}">
              <a16:creationId xmlns:a16="http://schemas.microsoft.com/office/drawing/2014/main" id="{998E381E-DF86-4ACA-9D59-3239478531AB}"/>
            </a:ext>
          </a:extLst>
        </xdr:cNvPr>
        <xdr:cNvSpPr txBox="1"/>
      </xdr:nvSpPr>
      <xdr:spPr>
        <a:xfrm>
          <a:off x="5690850" y="872349"/>
          <a:ext cx="634844" cy="175150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9819D88-6D3B-4634-AF67-72360C8526DD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-6.02%</a:t>
          </a:fld>
          <a:endParaRPr lang="en-US" sz="1100" b="1"/>
        </a:p>
      </xdr:txBody>
    </xdr:sp>
    <xdr:clientData/>
  </xdr:twoCellAnchor>
  <xdr:twoCellAnchor>
    <xdr:from>
      <xdr:col>13</xdr:col>
      <xdr:colOff>252629</xdr:colOff>
      <xdr:row>3</xdr:row>
      <xdr:rowOff>14864</xdr:rowOff>
    </xdr:from>
    <xdr:to>
      <xdr:col>15</xdr:col>
      <xdr:colOff>201466</xdr:colOff>
      <xdr:row>6</xdr:row>
      <xdr:rowOff>120731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31151C3-0E8A-44C6-8DE7-F9E301B12830}"/>
            </a:ext>
          </a:extLst>
        </xdr:cNvPr>
        <xdr:cNvSpPr/>
      </xdr:nvSpPr>
      <xdr:spPr>
        <a:xfrm>
          <a:off x="8177429" y="597250"/>
          <a:ext cx="1249680" cy="661038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latin typeface="+mn-lt"/>
            </a:rPr>
            <a:t>Excess</a:t>
          </a:r>
          <a:r>
            <a:rPr lang="en-IN" sz="800" b="1" baseline="0">
              <a:latin typeface="+mn-lt"/>
            </a:rPr>
            <a:t> readmit target</a:t>
          </a:r>
          <a:endParaRPr lang="en-IN" sz="800" b="1">
            <a:latin typeface="+mn-lt"/>
          </a:endParaRPr>
        </a:p>
      </xdr:txBody>
    </xdr:sp>
    <xdr:clientData/>
  </xdr:twoCellAnchor>
  <xdr:twoCellAnchor>
    <xdr:from>
      <xdr:col>13</xdr:col>
      <xdr:colOff>520599</xdr:colOff>
      <xdr:row>4</xdr:row>
      <xdr:rowOff>91521</xdr:rowOff>
    </xdr:from>
    <xdr:to>
      <xdr:col>14</xdr:col>
      <xdr:colOff>667919</xdr:colOff>
      <xdr:row>5</xdr:row>
      <xdr:rowOff>112541</xdr:rowOff>
    </xdr:to>
    <xdr:sp macro="" textlink="$V$4">
      <xdr:nvSpPr>
        <xdr:cNvPr id="14" name="TextBox 13">
          <a:extLst>
            <a:ext uri="{FF2B5EF4-FFF2-40B4-BE49-F238E27FC236}">
              <a16:creationId xmlns:a16="http://schemas.microsoft.com/office/drawing/2014/main" id="{72E5A392-AE22-40D2-9B92-C3A3F3EA43E8}"/>
            </a:ext>
          </a:extLst>
        </xdr:cNvPr>
        <xdr:cNvSpPr txBox="1"/>
      </xdr:nvSpPr>
      <xdr:spPr>
        <a:xfrm>
          <a:off x="8445399" y="858964"/>
          <a:ext cx="756920" cy="206077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6D106AF-AC34-4617-AC7B-5427B8F4B63F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-4213</a:t>
          </a:fld>
          <a:endParaRPr lang="en-IN" sz="1100" b="1"/>
        </a:p>
      </xdr:txBody>
    </xdr:sp>
    <xdr:clientData/>
  </xdr:twoCellAnchor>
  <xdr:twoCellAnchor>
    <xdr:from>
      <xdr:col>4</xdr:col>
      <xdr:colOff>277041</xdr:colOff>
      <xdr:row>3</xdr:row>
      <xdr:rowOff>7264</xdr:rowOff>
    </xdr:from>
    <xdr:to>
      <xdr:col>6</xdr:col>
      <xdr:colOff>435429</xdr:colOff>
      <xdr:row>6</xdr:row>
      <xdr:rowOff>103415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671BA49-D3C3-488F-BF48-46A9AE86232B}"/>
            </a:ext>
          </a:extLst>
        </xdr:cNvPr>
        <xdr:cNvSpPr/>
      </xdr:nvSpPr>
      <xdr:spPr>
        <a:xfrm>
          <a:off x="2715441" y="589650"/>
          <a:ext cx="1377588" cy="651322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800" b="1">
              <a:latin typeface="+mn-lt"/>
            </a:rPr>
            <a:t>Readmission_rate</a:t>
          </a:r>
        </a:p>
      </xdr:txBody>
    </xdr:sp>
    <xdr:clientData/>
  </xdr:twoCellAnchor>
  <xdr:twoCellAnchor>
    <xdr:from>
      <xdr:col>4</xdr:col>
      <xdr:colOff>608511</xdr:colOff>
      <xdr:row>4</xdr:row>
      <xdr:rowOff>102325</xdr:rowOff>
    </xdr:from>
    <xdr:to>
      <xdr:col>6</xdr:col>
      <xdr:colOff>59263</xdr:colOff>
      <xdr:row>5</xdr:row>
      <xdr:rowOff>94477</xdr:rowOff>
    </xdr:to>
    <xdr:sp macro="" textlink="$V$2">
      <xdr:nvSpPr>
        <xdr:cNvPr id="17" name="TextBox 16">
          <a:extLst>
            <a:ext uri="{FF2B5EF4-FFF2-40B4-BE49-F238E27FC236}">
              <a16:creationId xmlns:a16="http://schemas.microsoft.com/office/drawing/2014/main" id="{7D177DDE-3AF4-4FB9-BD04-444E0F7C7439}"/>
            </a:ext>
          </a:extLst>
        </xdr:cNvPr>
        <xdr:cNvSpPr txBox="1"/>
      </xdr:nvSpPr>
      <xdr:spPr>
        <a:xfrm>
          <a:off x="3046911" y="869768"/>
          <a:ext cx="669952" cy="177209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2496B1C-8648-458D-AAFA-6CCC1F283A23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8.98%</a:t>
          </a:fld>
          <a:endParaRPr lang="en-IN" sz="1100" b="1"/>
        </a:p>
      </xdr:txBody>
    </xdr:sp>
    <xdr:clientData/>
  </xdr:twoCellAnchor>
  <xdr:twoCellAnchor>
    <xdr:from>
      <xdr:col>1</xdr:col>
      <xdr:colOff>201386</xdr:colOff>
      <xdr:row>0</xdr:row>
      <xdr:rowOff>103415</xdr:rowOff>
    </xdr:from>
    <xdr:to>
      <xdr:col>15</xdr:col>
      <xdr:colOff>38101</xdr:colOff>
      <xdr:row>1</xdr:row>
      <xdr:rowOff>195943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B2D89F3-B712-A6F0-C141-D044947EAAB7}"/>
            </a:ext>
          </a:extLst>
        </xdr:cNvPr>
        <xdr:cNvSpPr txBox="1"/>
      </xdr:nvSpPr>
      <xdr:spPr>
        <a:xfrm>
          <a:off x="810986" y="103415"/>
          <a:ext cx="8452758" cy="277585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bg2">
              <a:lumMod val="9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 Readmission Performance Dashboard : </a:t>
          </a:r>
          <a:r>
            <a:rPr lang="en-IN" sz="11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"How are we performing?"</a:t>
          </a:r>
          <a:endParaRPr lang="en-IN" sz="1200" b="1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400">
            <a:effectLst/>
          </a:endParaRPr>
        </a:p>
        <a:p>
          <a:pPr algn="ctr"/>
          <a:endParaRPr lang="en-IN" sz="1400"/>
        </a:p>
      </xdr:txBody>
    </xdr:sp>
    <xdr:clientData/>
  </xdr:twoCellAnchor>
  <xdr:twoCellAnchor editAs="oneCell">
    <xdr:from>
      <xdr:col>0</xdr:col>
      <xdr:colOff>576942</xdr:colOff>
      <xdr:row>0</xdr:row>
      <xdr:rowOff>10885</xdr:rowOff>
    </xdr:from>
    <xdr:to>
      <xdr:col>2</xdr:col>
      <xdr:colOff>234042</xdr:colOff>
      <xdr:row>2</xdr:row>
      <xdr:rowOff>100099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3C4F4E5-00DA-E990-2252-65624FAEA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2" y="10885"/>
          <a:ext cx="876300" cy="486543"/>
        </a:xfrm>
        <a:prstGeom prst="rect">
          <a:avLst/>
        </a:prstGeom>
      </xdr:spPr>
    </xdr:pic>
    <xdr:clientData/>
  </xdr:twoCellAnchor>
  <xdr:twoCellAnchor editAs="oneCell">
    <xdr:from>
      <xdr:col>2</xdr:col>
      <xdr:colOff>195106</xdr:colOff>
      <xdr:row>7</xdr:row>
      <xdr:rowOff>114909</xdr:rowOff>
    </xdr:from>
    <xdr:to>
      <xdr:col>14</xdr:col>
      <xdr:colOff>36425</xdr:colOff>
      <xdr:row>17</xdr:row>
      <xdr:rowOff>73686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887A1F5-D764-BC2A-965E-D2FF85B02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4306" y="1416171"/>
          <a:ext cx="7156519" cy="1775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lip" refreshedDate="46271.661297916668" createdVersion="8" refreshedVersion="8" minRefreshableVersion="3" recordCount="3" xr:uid="{BA365D19-1668-4BF4-A1DB-51838FA9B861}">
  <cacheSource type="worksheet">
    <worksheetSource name="polypharmacy"/>
  </cacheSource>
  <cacheFields count="4">
    <cacheField name="polypharmacy_group" numFmtId="0">
      <sharedItems/>
    </cacheField>
    <cacheField name="total_encounters" numFmtId="0">
      <sharedItems containsSemiMixedTypes="0" containsString="0" containsNumber="1" containsInteger="1" minValue="15443" maxValue="35046"/>
    </cacheField>
    <cacheField name="total_readmissions" numFmtId="0">
      <sharedItems containsSemiMixedTypes="0" containsString="0" containsNumber="1" containsInteger="1" minValue="1423" maxValue="3246"/>
    </cacheField>
    <cacheField name="readmission_rate_pct" numFmtId="0">
      <sharedItems containsSemiMixedTypes="0" containsString="0" containsNumber="1" minValue="7.3" maxValue="1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1-10 Medications (Low)"/>
    <n v="19498"/>
    <n v="1423"/>
    <n v="7.3"/>
  </r>
  <r>
    <s v="11-20 Medications (Moderate)"/>
    <n v="35046"/>
    <n v="3246"/>
    <n v="9.26"/>
  </r>
  <r>
    <s v="21+ Medications (High Polypharmacy)"/>
    <n v="15443"/>
    <n v="1616"/>
    <n v="10.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C4C6F-4088-4B68-96D7-60062CBFAF3A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C28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6913E86-AE9D-490D-9718-BF87B733D9B8}" autoFormatId="16" applyNumberFormats="0" applyBorderFormats="0" applyFontFormats="0" applyPatternFormats="0" applyAlignmentFormats="0" applyWidthHeightFormats="0">
  <queryTableRefresh nextId="4">
    <queryTableFields count="3">
      <queryTableField id="1" name="metric" tableColumnId="1"/>
      <queryTableField id="2" name="value" tableColumnId="2"/>
      <queryTableField id="3" name="contex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2C846B-BD49-44C9-BB1B-CF103DB0E341}" autoFormatId="16" applyNumberFormats="0" applyBorderFormats="0" applyFontFormats="0" applyPatternFormats="0" applyAlignmentFormats="0" applyWidthHeightFormats="0">
  <queryTableRefresh nextId="5">
    <queryTableFields count="4">
      <queryTableField id="1" name="polypharmacy_group" tableColumnId="1"/>
      <queryTableField id="2" name="total_encounters" tableColumnId="2"/>
      <queryTableField id="3" name="total_readmissions" tableColumnId="3"/>
      <queryTableField id="4" name="readmission_rate_pc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4FD8D35-B698-451D-A1FF-CA55BC9EA058}" autoFormatId="16" applyNumberFormats="0" applyBorderFormats="0" applyFontFormats="0" applyPatternFormats="0" applyAlignmentFormats="0" applyWidthHeightFormats="0">
  <queryTableRefresh nextId="6">
    <queryTableFields count="5">
      <queryTableField id="1" name="total_encounter" tableColumnId="1"/>
      <queryTableField id="2" name="total_readmitted" tableColumnId="2"/>
      <queryTableField id="3" name="not_admitted" tableColumnId="3"/>
      <queryTableField id="4" name="readmission_rate" tableColumnId="4"/>
      <queryTableField id="5" name="non_readmission_rate_pc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70B0BDC-6C70-4A45-A94E-F7DA8F34CD56}" autoFormatId="16" applyNumberFormats="0" applyBorderFormats="0" applyFontFormats="0" applyPatternFormats="0" applyAlignmentFormats="0" applyWidthHeightFormats="0">
  <queryTableRefresh nextId="6">
    <queryTableFields count="5">
      <queryTableField id="1" name="age_group" tableColumnId="1"/>
      <queryTableField id="2" name="age_mid" tableColumnId="2"/>
      <queryTableField id="3" name="total_patients" tableColumnId="3"/>
      <queryTableField id="4" name="readmissions" tableColumnId="4"/>
      <queryTableField id="5" name="readmission_rate_pc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9F3519FF-5DFD-48FA-B927-897B5BE62310}" autoFormatId="16" applyNumberFormats="0" applyBorderFormats="0" applyFontFormats="0" applyPatternFormats="0" applyAlignmentFormats="0" applyWidthHeightFormats="0">
  <queryTableRefresh nextId="6">
    <queryTableFields count="5">
      <queryTableField id="1" name="prior_inpatient_group" tableColumnId="1"/>
      <queryTableField id="2" name="number_inpatient" tableColumnId="2"/>
      <queryTableField id="3" name="total_patients" tableColumnId="3"/>
      <queryTableField id="4" name="readmissions" tableColumnId="4"/>
      <queryTableField id="5" name="readmission_rate_pct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33AB73B-7CD8-4A99-8725-73B886113F8A}" autoFormatId="16" applyNumberFormats="0" applyBorderFormats="0" applyFontFormats="0" applyPatternFormats="0" applyAlignmentFormats="0" applyWidthHeightFormats="0">
  <queryTableRefresh nextId="8" unboundColumnsRight="3">
    <queryTableFields count="7">
      <queryTableField id="1" name="diagnosis_category" tableColumnId="1"/>
      <queryTableField id="2" name="total_encounters" tableColumnId="2"/>
      <queryTableField id="3" name="readmissions" tableColumnId="3"/>
      <queryTableField id="4" name="readmission_rate_pct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A06888C9-2EB3-4AD6-9BFF-BF0D5E2736ED}" autoFormatId="16" applyNumberFormats="0" applyBorderFormats="0" applyFontFormats="0" applyPatternFormats="0" applyAlignmentFormats="0" applyWidthHeightFormats="0">
  <queryTableRefresh nextId="5">
    <queryTableFields count="4">
      <queryTableField id="1" name="risk_score" tableColumnId="1"/>
      <queryTableField id="2" name="patient_count" tableColumnId="2"/>
      <queryTableField id="3" name="readmissions" tableColumnId="3"/>
      <queryTableField id="4" name="readmission_rate_pct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69A4EDE-3749-4405-934D-16DF57F9AD58}" autoFormatId="16" applyNumberFormats="0" applyBorderFormats="0" applyFontFormats="0" applyPatternFormats="0" applyAlignmentFormats="0" applyWidthHeightFormats="0">
  <queryTableRefresh nextId="6">
    <queryTableFields count="5">
      <queryTableField id="1" name="disposition_id" tableColumnId="1"/>
      <queryTableField id="2" name="disposition_label" tableColumnId="2"/>
      <queryTableField id="3" name="total_encounters" tableColumnId="3"/>
      <queryTableField id="4" name="readmissions" tableColumnId="4"/>
      <queryTableField id="5" name="readmission_rate_pct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CFC9DA6D-3DAC-482C-8D7B-C0D6A51A1C1B}" autoFormatId="16" applyNumberFormats="0" applyBorderFormats="0" applyFontFormats="0" applyPatternFormats="0" applyAlignmentFormats="0" applyWidthHeightFormats="0">
  <queryTableRefresh nextId="5">
    <queryTableFields count="4">
      <queryTableField id="1" name="insulin_change" tableColumnId="1"/>
      <queryTableField id="2" name="total_encounters" tableColumnId="2"/>
      <queryTableField id="3" name="readmissions" tableColumnId="3"/>
      <queryTableField id="4" name="readmission_rate_pct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62D00A7-3563-43FD-806E-0975E4445D86}" autoFormatId="16" applyNumberFormats="0" applyBorderFormats="0" applyFontFormats="0" applyPatternFormats="0" applyAlignmentFormats="0" applyWidthHeightFormats="0">
  <queryTableRefresh nextId="8">
    <queryTableFields count="7">
      <queryTableField id="1" name="readmission_status" tableColumnId="1"/>
      <queryTableField id="2" name="total_encounters" tableColumnId="2"/>
      <queryTableField id="3" name="avg_length_of_stay_days" tableColumnId="3"/>
      <queryTableField id="4" name="avg_lab_procedures" tableColumnId="4"/>
      <queryTableField id="5" name="avg_non_lab_procedures" tableColumnId="5"/>
      <queryTableField id="6" name="avg_medications_prescribed" tableColumnId="6"/>
      <queryTableField id="7" name="avg_prior_visits_total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3952E74-967B-42DB-B0A6-B4A475370C3C}" autoFormatId="16" applyNumberFormats="0" applyBorderFormats="0" applyFontFormats="0" applyPatternFormats="0" applyAlignmentFormats="0" applyWidthHeightFormats="0">
  <queryTableRefresh nextId="5">
    <queryTableFields count="4">
      <queryTableField id="1" name="los_category" tableColumnId="1"/>
      <queryTableField id="2" name="total_encounters" tableColumnId="2"/>
      <queryTableField id="3" name="readmissions" tableColumnId="3"/>
      <queryTableField id="4" name="readmission_rate_pct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6877B59-E707-4447-9B85-0D9980C2CB46}" name="Table13" displayName="Table13" ref="A15:D21" totalsRowShown="0" headerRowDxfId="20" dataDxfId="19">
  <tableColumns count="4">
    <tableColumn id="1" xr3:uid="{4E295A64-84C6-4336-9B92-FA3B9F45F1DE}" name="Risk score" dataDxfId="18">
      <calculatedColumnFormula>patient_risk_scores!A2</calculatedColumnFormula>
    </tableColumn>
    <tableColumn id="2" xr3:uid="{80EFFE85-C6FF-4658-A5FE-02A59D98E2D8}" name="Patient score" dataDxfId="17">
      <calculatedColumnFormula>patient_risk_scores!B2</calculatedColumnFormula>
    </tableColumn>
    <tableColumn id="3" xr3:uid="{E3442A8C-CB10-466A-9779-3FE1A17015D2}" name="Readmission" dataDxfId="16">
      <calculatedColumnFormula>patient_risk_scores!C2</calculatedColumnFormula>
    </tableColumn>
    <tableColumn id="4" xr3:uid="{C28AC735-0344-431E-8C55-8AD305823CE4}" name="Readmission rate%" dataDxfId="15">
      <calculatedColumnFormula>patient_risk_scores!D2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415D0F-4CE0-4245-9342-A6B506DFAAC1}" name="Query11" displayName="Query11" ref="A1:C8" tableType="queryTable" totalsRowShown="0">
  <tableColumns count="3">
    <tableColumn id="1" xr3:uid="{03AA958D-FB93-469E-A64B-0C123BEEF076}" uniqueName="1" name="metric" queryTableFieldId="1" dataDxfId="14"/>
    <tableColumn id="2" xr3:uid="{2C6E74B5-DFEB-4406-97CA-A18906758ECC}" uniqueName="2" name="value" queryTableFieldId="2" dataDxfId="13"/>
    <tableColumn id="3" xr3:uid="{2E50224D-904B-48AC-A0AF-1DC9EA97FD51}" uniqueName="3" name="context" queryTableFieldId="3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F1A5B-CE79-4E1E-8675-DBF3F61D6E13}" name="polypharmacy" displayName="polypharmacy" ref="A1:D4" tableType="queryTable" totalsRowShown="0">
  <autoFilter ref="A1:D4" xr:uid="{790F1A5B-CE79-4E1E-8675-DBF3F61D6E13}"/>
  <tableColumns count="4">
    <tableColumn id="1" xr3:uid="{DCDC5F6B-0DE5-410E-A885-D90069BD11AA}" uniqueName="1" name="polypharmacy_group" queryTableFieldId="1" dataDxfId="11"/>
    <tableColumn id="2" xr3:uid="{02D1A496-CD8F-40DF-842C-C176F01BF990}" uniqueName="2" name="total_encounters" queryTableFieldId="2"/>
    <tableColumn id="3" xr3:uid="{51918C40-6E1B-42EE-9824-72C396FA8A93}" uniqueName="3" name="total_readmissions" queryTableFieldId="3"/>
    <tableColumn id="4" xr3:uid="{804C913C-B90A-4605-8092-D5CA3037ABE2}" uniqueName="4" name="readmission_rate_pc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72F9B-B78A-4E91-9F6F-DD25262D4158}" name="Query2" displayName="Query2" ref="A1:E2" tableType="queryTable" totalsRowShown="0">
  <autoFilter ref="A1:E2" xr:uid="{4D972F9B-B78A-4E91-9F6F-DD25262D4158}"/>
  <tableColumns count="5">
    <tableColumn id="1" xr3:uid="{FBAA568B-7B2D-458E-A122-D390A73104C9}" uniqueName="1" name="total_encounter" queryTableFieldId="1"/>
    <tableColumn id="2" xr3:uid="{3E2CFB23-33C8-4406-9220-5D3F8BC2E625}" uniqueName="2" name="total_readmitted" queryTableFieldId="2"/>
    <tableColumn id="3" xr3:uid="{33BDFDD9-F28F-4856-85B5-61CCC00264E7}" uniqueName="3" name="not_admitted" queryTableFieldId="3"/>
    <tableColumn id="4" xr3:uid="{210B4E17-600B-4DF5-9D24-9F81062ED059}" uniqueName="4" name="readmission_rate" queryTableFieldId="4" dataDxfId="10" dataCellStyle="Percent"/>
    <tableColumn id="5" xr3:uid="{EE948B08-E3D5-4E97-9D7C-09CEE1AFBCD8}" uniqueName="5" name="non_readmission_rate_pc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E3482B-9A91-495C-A058-2E97F78F6660}" name="Query3" displayName="Query3" ref="A1:E11" tableType="queryTable" totalsRowShown="0">
  <autoFilter ref="A1:E11" xr:uid="{BCE3482B-9A91-495C-A058-2E97F78F6660}"/>
  <tableColumns count="5">
    <tableColumn id="1" xr3:uid="{75669456-C4B7-49B2-B0E5-A2EFFD149FA0}" uniqueName="1" name="age_group" queryTableFieldId="1" dataDxfId="9"/>
    <tableColumn id="2" xr3:uid="{0FEEB500-9DAF-4960-8DF3-2C351013C0C5}" uniqueName="2" name="age_mid" queryTableFieldId="2"/>
    <tableColumn id="3" xr3:uid="{BA87E9D2-6FDF-4696-BA8B-16B4BE1FD1B6}" uniqueName="3" name="total_patients" queryTableFieldId="3"/>
    <tableColumn id="4" xr3:uid="{7008FAD6-C47D-43F9-AC5E-D091B8AE9638}" uniqueName="4" name="readmissions" queryTableFieldId="4"/>
    <tableColumn id="5" xr3:uid="{D4F08A67-2935-428E-8CA3-307EED893173}" uniqueName="5" name="readmission_rate_pct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E480B5-B97A-48FE-B575-9F50DFE48CF5}" name="Query5" displayName="Query5" ref="A1:E13" tableType="queryTable" totalsRowShown="0">
  <autoFilter ref="A1:E13" xr:uid="{D2E480B5-B97A-48FE-B575-9F50DFE48CF5}"/>
  <tableColumns count="5">
    <tableColumn id="1" xr3:uid="{AB9DA98E-47F0-4D89-941D-F3BCE5628A88}" uniqueName="1" name="prior_inpatient_group" queryTableFieldId="1" dataDxfId="8"/>
    <tableColumn id="2" xr3:uid="{7586AE60-3DC9-448D-A7CE-D3BFBACE220A}" uniqueName="2" name="number_inpatient" queryTableFieldId="2"/>
    <tableColumn id="3" xr3:uid="{B7BD427F-94AA-4541-B514-B7B227A61FCA}" uniqueName="3" name="total_patients" queryTableFieldId="3"/>
    <tableColumn id="4" xr3:uid="{B2EB949B-5FA3-4E87-91EB-294A3B92B9C8}" uniqueName="4" name="readmissions" queryTableFieldId="4"/>
    <tableColumn id="5" xr3:uid="{972A72D7-AD34-4041-8050-4EB0EFC41A35}" uniqueName="5" name="readmission_rate_pct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7EA228-85AF-4554-B13A-EBAF0E39A670}" name="Query4" displayName="Query4" ref="A1:G11" tableType="queryTable" totalsRowShown="0">
  <autoFilter ref="A1:G11" xr:uid="{7A7EA228-85AF-4554-B13A-EBAF0E39A670}"/>
  <tableColumns count="7">
    <tableColumn id="1" xr3:uid="{5D281616-A039-4BEA-8194-29EA66A4A0B4}" uniqueName="1" name="diagnosis_category" queryTableFieldId="1" dataDxfId="7"/>
    <tableColumn id="2" xr3:uid="{5B85EE56-36EB-4DC2-8530-E4AC91122014}" uniqueName="2" name="total_encounters" queryTableFieldId="2"/>
    <tableColumn id="3" xr3:uid="{33876B52-1D32-42A9-94D1-5A9F651A47D8}" uniqueName="3" name="readmissions" queryTableFieldId="3"/>
    <tableColumn id="4" xr3:uid="{81F74400-3AFD-423D-81C1-1086542C7D51}" uniqueName="4" name="readmission_rate_pct" queryTableFieldId="4"/>
    <tableColumn id="5" xr3:uid="{7CF146D4-E432-4AB7-A97B-577FFF3A64B3}" uniqueName="5" name="readmision rate%" queryTableFieldId="5" dataDxfId="6">
      <calculatedColumnFormula>diagnosis_category!D2:D11 / 100</calculatedColumnFormula>
    </tableColumn>
    <tableColumn id="6" xr3:uid="{C06E6188-3827-46F6-8DAA-B9D3145639E5}" uniqueName="6" name="Relative rate index" queryTableFieldId="6" dataDxfId="5">
      <calculatedColumnFormula>Query4[[#This Row],[readmision rate%]]/'stretegic performance'!$V$2</calculatedColumnFormula>
    </tableColumn>
    <tableColumn id="7" xr3:uid="{35EED0F6-23BE-4CDF-AC11-5B557682D0D8}" uniqueName="7" name="share of total readmission" queryTableFieldId="7" dataDxfId="4">
      <calculatedColumnFormula>diagnosis_category!C2 / SUM(diagnosis_category!$C$2:$C$11)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635FEE-FDC8-4DAC-8795-0BA10CF71880}" name="Query6" displayName="Query6" ref="A1:D7" tableType="queryTable" totalsRowShown="0">
  <autoFilter ref="A1:D7" xr:uid="{C1635FEE-FDC8-4DAC-8795-0BA10CF71880}"/>
  <tableColumns count="4">
    <tableColumn id="1" xr3:uid="{16DEE766-3051-4267-B1EB-8FCFF130EAA6}" uniqueName="1" name="risk_score" queryTableFieldId="1"/>
    <tableColumn id="2" xr3:uid="{B1176268-0675-4C46-B86C-04989E46C7C6}" uniqueName="2" name="patient_count" queryTableFieldId="2"/>
    <tableColumn id="3" xr3:uid="{5D6DB5B9-E231-4F16-BAE9-8040ABA6E0C7}" uniqueName="3" name="readmissions" queryTableFieldId="3"/>
    <tableColumn id="4" xr3:uid="{564DAE34-D39E-4C2B-8CFD-705205E92839}" uniqueName="4" name="readmission_rate_pct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A2B0E0-8197-4E3E-A797-B21409EE37B1}" name="Query7" displayName="Query7" ref="A1:E12" tableType="queryTable" totalsRowShown="0">
  <autoFilter ref="A1:E12" xr:uid="{5FA2B0E0-8197-4E3E-A797-B21409EE37B1}"/>
  <tableColumns count="5">
    <tableColumn id="1" xr3:uid="{DC06CF82-EB5D-493A-91E3-0DB6553A656A}" uniqueName="1" name="disposition_id" queryTableFieldId="1"/>
    <tableColumn id="2" xr3:uid="{52E2C788-F392-4335-9102-741A8EAAD9FB}" uniqueName="2" name="disposition_label" queryTableFieldId="2" dataDxfId="3"/>
    <tableColumn id="3" xr3:uid="{630E91C7-F3EB-4134-9506-A20805054975}" uniqueName="3" name="total_encounters" queryTableFieldId="3"/>
    <tableColumn id="4" xr3:uid="{4A9CDEEC-BD2E-4ED8-9F5C-A45A7DF61C1D}" uniqueName="4" name="readmissions" queryTableFieldId="4"/>
    <tableColumn id="5" xr3:uid="{1A54D63F-8402-4E4C-B01F-CA9C31090CE9}" uniqueName="5" name="readmission_rate_pct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A50CE3-B2DD-446A-B674-89E33F7CB782}" name="Query8" displayName="Query8" ref="A1:D5" tableType="queryTable" totalsRowShown="0">
  <autoFilter ref="A1:D5" xr:uid="{F3A50CE3-B2DD-446A-B674-89E33F7CB782}"/>
  <tableColumns count="4">
    <tableColumn id="1" xr3:uid="{43837CAA-3CAF-484C-ADD4-B8F3A1E17CD0}" uniqueName="1" name="insulin_change" queryTableFieldId="1" dataDxfId="2"/>
    <tableColumn id="2" xr3:uid="{7F9FBBE1-BA4C-47FC-8D40-7121B2FD05EB}" uniqueName="2" name="total_encounters" queryTableFieldId="2"/>
    <tableColumn id="3" xr3:uid="{A008339C-B680-4601-88E2-D2AD515135CF}" uniqueName="3" name="readmissions" queryTableFieldId="3"/>
    <tableColumn id="4" xr3:uid="{B4EDBAC2-9A24-4A93-BB8D-12C1FE0309FC}" uniqueName="4" name="readmission_rate_pct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A794A1-CDFB-4B6A-B58A-18E173FD097B}" name="Query9" displayName="Query9" ref="A1:G3" tableType="queryTable" totalsRowShown="0">
  <autoFilter ref="A1:G3" xr:uid="{0EA794A1-CDFB-4B6A-B58A-18E173FD097B}"/>
  <tableColumns count="7">
    <tableColumn id="1" xr3:uid="{4F3F9595-2D34-4CAF-8DDB-DD465F152D1E}" uniqueName="1" name="readmission_status" queryTableFieldId="1" dataDxfId="1"/>
    <tableColumn id="2" xr3:uid="{7DCDF17C-C682-433E-95E1-7158BA1BB574}" uniqueName="2" name="total_encounters" queryTableFieldId="2"/>
    <tableColumn id="3" xr3:uid="{1AACCEF1-80D2-407F-B7E5-2037F6B4CDFC}" uniqueName="3" name="avg_length_of_stay_days" queryTableFieldId="3"/>
    <tableColumn id="4" xr3:uid="{45AA24FF-A41B-4005-ABF2-9B7BAF9187F7}" uniqueName="4" name="avg_lab_procedures" queryTableFieldId="4"/>
    <tableColumn id="5" xr3:uid="{503523CD-D317-4117-AF22-0CC16FF96328}" uniqueName="5" name="avg_non_lab_procedures" queryTableFieldId="5"/>
    <tableColumn id="6" xr3:uid="{E218FD95-7DD4-4CC4-AFFA-2D526DBA3FFD}" uniqueName="6" name="avg_medications_prescribed" queryTableFieldId="6"/>
    <tableColumn id="7" xr3:uid="{92C941C3-DF93-4785-9EF3-53931E27AB4D}" uniqueName="7" name="avg_prior_visits_total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A5E006-FDD8-4259-B4AC-ADC045DFA2CC}" name="Query10" displayName="Query10" ref="A1:D4" tableType="queryTable" totalsRowShown="0">
  <autoFilter ref="A1:D4" xr:uid="{D2A5E006-FDD8-4259-B4AC-ADC045DFA2CC}"/>
  <tableColumns count="4">
    <tableColumn id="1" xr3:uid="{C0EC7873-4BCD-46E7-93D4-6270997F9C3D}" uniqueName="1" name="los_category" queryTableFieldId="1" dataDxfId="0"/>
    <tableColumn id="2" xr3:uid="{1B639A58-371A-49FD-B05D-D97B3A88D29C}" uniqueName="2" name="total_encounters" queryTableFieldId="2"/>
    <tableColumn id="3" xr3:uid="{596934F3-5780-445D-9F2C-3A5B370280F1}" uniqueName="3" name="readmissions" queryTableFieldId="3"/>
    <tableColumn id="4" xr3:uid="{4B047037-A746-4FA9-AF12-2CC8880B2352}" uniqueName="4" name="readmission_rate_pc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D5A1-003B-4B8C-A229-DC689423AFA0}">
  <dimension ref="A1:V21"/>
  <sheetViews>
    <sheetView tabSelected="1" zoomScale="110" zoomScaleNormal="110" workbookViewId="0">
      <selection activeCell="L19" sqref="L19"/>
    </sheetView>
  </sheetViews>
  <sheetFormatPr defaultRowHeight="14.4"/>
  <cols>
    <col min="1" max="1" width="8.5546875" style="1" customWidth="1"/>
    <col min="2" max="3" width="13.77734375" style="1" customWidth="1"/>
    <col min="4" max="4" width="17.77734375" style="1" customWidth="1"/>
    <col min="5" max="5" width="14.6640625" style="1" customWidth="1"/>
    <col min="6" max="6" width="11.44140625" style="1" customWidth="1"/>
    <col min="7" max="7" width="11" style="1" customWidth="1"/>
    <col min="8" max="8" width="15.88671875" style="1" customWidth="1"/>
    <col min="9" max="9" width="19.5546875" style="1" bestFit="1" customWidth="1"/>
    <col min="10" max="10" width="22.109375" style="1" bestFit="1" customWidth="1"/>
    <col min="11" max="11" width="18.5546875" style="1" bestFit="1" customWidth="1"/>
    <col min="12" max="12" width="26" style="1" bestFit="1" customWidth="1"/>
    <col min="13" max="13" width="6" style="1" customWidth="1"/>
    <col min="14" max="14" width="14.21875" style="1" customWidth="1"/>
    <col min="15" max="15" width="7.6640625" style="1" customWidth="1"/>
    <col min="16" max="16" width="4" style="1" customWidth="1"/>
    <col min="17" max="17" width="8.109375" style="1" customWidth="1"/>
    <col min="18" max="18" width="22.33203125" style="1" bestFit="1" customWidth="1"/>
    <col min="19" max="19" width="11" style="1" bestFit="1" customWidth="1"/>
    <col min="20" max="20" width="8.77734375" style="1" bestFit="1" customWidth="1"/>
    <col min="21" max="21" width="9.109375" style="1" customWidth="1"/>
    <col min="22" max="16384" width="8.88671875" style="1"/>
  </cols>
  <sheetData>
    <row r="1" spans="1:22">
      <c r="O1" s="5"/>
      <c r="Q1" s="16"/>
      <c r="R1" s="18"/>
      <c r="S1" s="16"/>
      <c r="T1" s="16"/>
      <c r="U1" s="16"/>
      <c r="V1" s="30">
        <f>Query2[total_encounter]</f>
        <v>69987</v>
      </c>
    </row>
    <row r="2" spans="1:22" ht="16.8" customHeight="1">
      <c r="O2" s="4"/>
      <c r="Q2" s="16"/>
      <c r="R2" s="18"/>
      <c r="S2" s="31"/>
      <c r="T2" s="32"/>
      <c r="U2" s="33"/>
      <c r="V2" s="34">
        <f>overall_readmission!D2/100</f>
        <v>8.9800000000000005E-2</v>
      </c>
    </row>
    <row r="3" spans="1:22">
      <c r="O3" s="4"/>
      <c r="Q3" s="16"/>
      <c r="R3" s="18"/>
      <c r="S3" s="31"/>
      <c r="T3" s="32"/>
      <c r="U3" s="33"/>
      <c r="V3" s="35">
        <f>V2 - 0.15</f>
        <v>-6.019999999999999E-2</v>
      </c>
    </row>
    <row r="4" spans="1:22" ht="14.4" customHeight="1">
      <c r="A4" s="17"/>
      <c r="B4" s="46"/>
      <c r="C4" s="46"/>
      <c r="O4" s="2"/>
      <c r="Q4" s="16"/>
      <c r="R4" s="18"/>
      <c r="S4" s="31"/>
      <c r="T4" s="32"/>
      <c r="U4" s="33"/>
      <c r="V4" s="36">
        <f>ROUND(V1 * V3, 0)</f>
        <v>-4213</v>
      </c>
    </row>
    <row r="5" spans="1:22">
      <c r="Q5" s="16"/>
      <c r="R5" s="18"/>
      <c r="S5" s="31"/>
      <c r="T5" s="32"/>
      <c r="U5" s="33"/>
    </row>
    <row r="6" spans="1:22">
      <c r="T6" s="32"/>
      <c r="U6" s="33"/>
    </row>
    <row r="7" spans="1:22">
      <c r="T7" s="32"/>
      <c r="U7" s="33"/>
    </row>
    <row r="9" spans="1:22">
      <c r="Q9" s="16"/>
      <c r="R9" s="18"/>
    </row>
    <row r="10" spans="1:22">
      <c r="Q10" s="16"/>
      <c r="R10" s="18"/>
    </row>
    <row r="13" spans="1:22">
      <c r="O13" s="4"/>
    </row>
    <row r="15" spans="1:22">
      <c r="A15" s="1" t="s">
        <v>103</v>
      </c>
      <c r="B15" s="1" t="s">
        <v>104</v>
      </c>
      <c r="C15" s="1" t="s">
        <v>105</v>
      </c>
      <c r="D15" s="1" t="s">
        <v>106</v>
      </c>
      <c r="E15" s="47" t="s">
        <v>107</v>
      </c>
      <c r="F15" s="47"/>
      <c r="G15" s="47"/>
    </row>
    <row r="16" spans="1:22">
      <c r="A16" s="1">
        <f>patient_risk_scores!A2</f>
        <v>0</v>
      </c>
      <c r="B16" s="1">
        <f>patient_risk_scores!B2</f>
        <v>41363</v>
      </c>
      <c r="C16" s="1">
        <f>patient_risk_scores!C2</f>
        <v>3254</v>
      </c>
      <c r="D16" s="1">
        <f>patient_risk_scores!D2</f>
        <v>7.87</v>
      </c>
      <c r="F16" s="37">
        <f>SUMIFS(patient_risk_scores!B2:B7, patient_risk_scores!A2:A7, "&gt;=4") / SUM(patient_risk_scores!B2:B7)</f>
        <v>7.8586023118579163E-4</v>
      </c>
    </row>
    <row r="17" spans="1:4">
      <c r="A17" s="1">
        <f>patient_risk_scores!A3</f>
        <v>1</v>
      </c>
      <c r="B17" s="1">
        <f>patient_risk_scores!B3</f>
        <v>22067</v>
      </c>
      <c r="C17" s="1">
        <f>patient_risk_scores!C3</f>
        <v>2229</v>
      </c>
      <c r="D17" s="1">
        <f>patient_risk_scores!D3</f>
        <v>10.1</v>
      </c>
    </row>
    <row r="18" spans="1:4">
      <c r="A18" s="1">
        <f>patient_risk_scores!A4</f>
        <v>2</v>
      </c>
      <c r="B18" s="1">
        <f>patient_risk_scores!B4</f>
        <v>5697</v>
      </c>
      <c r="C18" s="1">
        <f>patient_risk_scores!C4</f>
        <v>668</v>
      </c>
      <c r="D18" s="1">
        <f>patient_risk_scores!D4</f>
        <v>11.73</v>
      </c>
    </row>
    <row r="19" spans="1:4">
      <c r="A19" s="1">
        <f>patient_risk_scores!A5</f>
        <v>3</v>
      </c>
      <c r="B19" s="1">
        <f>patient_risk_scores!B5</f>
        <v>805</v>
      </c>
      <c r="C19" s="1">
        <f>patient_risk_scores!C5</f>
        <v>125</v>
      </c>
      <c r="D19" s="1">
        <f>patient_risk_scores!D5</f>
        <v>15.53</v>
      </c>
    </row>
    <row r="20" spans="1:4">
      <c r="A20" s="1">
        <f>patient_risk_scores!A6</f>
        <v>4</v>
      </c>
      <c r="B20" s="1">
        <f>patient_risk_scores!B6</f>
        <v>54</v>
      </c>
      <c r="C20" s="1">
        <f>patient_risk_scores!C6</f>
        <v>9</v>
      </c>
      <c r="D20" s="1">
        <f>patient_risk_scores!D6</f>
        <v>16.670000000000002</v>
      </c>
    </row>
    <row r="21" spans="1:4">
      <c r="A21" s="1">
        <f>patient_risk_scores!A7</f>
        <v>5</v>
      </c>
      <c r="B21" s="1">
        <f>patient_risk_scores!B7</f>
        <v>1</v>
      </c>
      <c r="C21" s="1">
        <f>patient_risk_scores!C7</f>
        <v>0</v>
      </c>
      <c r="D21" s="1">
        <f>patient_risk_scores!D7</f>
        <v>0</v>
      </c>
    </row>
  </sheetData>
  <mergeCells count="2">
    <mergeCell ref="B4:C4"/>
    <mergeCell ref="E15:G15"/>
  </mergeCells>
  <conditionalFormatting sqref="D16:D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">
    <cfRule type="iconSet" priority="6">
      <iconSet>
        <cfvo type="percent" val="0"/>
        <cfvo type="percent" val="0"/>
        <cfvo type="percent" val="67"/>
      </iconSet>
    </cfRule>
  </conditionalFormatting>
  <conditionalFormatting sqref="O13">
    <cfRule type="iconSet" priority="5">
      <iconSet>
        <cfvo type="percent" val="0"/>
        <cfvo type="percent" val="0"/>
        <cfvo type="percent" val="67"/>
      </iconSet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2D0CD-BABD-4D44-8C27-764090725F1B}">
  <dimension ref="A1:AD27"/>
  <sheetViews>
    <sheetView zoomScale="120" zoomScaleNormal="120" workbookViewId="0">
      <selection activeCell="E12" sqref="E12"/>
    </sheetView>
  </sheetViews>
  <sheetFormatPr defaultRowHeight="14.4"/>
  <cols>
    <col min="1" max="1" width="8.88671875" style="1"/>
    <col min="2" max="2" width="22.77734375" style="1" bestFit="1" customWidth="1"/>
    <col min="3" max="3" width="14.88671875" style="1" bestFit="1" customWidth="1"/>
    <col min="4" max="4" width="12" style="1" bestFit="1" customWidth="1"/>
    <col min="5" max="5" width="17.88671875" style="1" bestFit="1" customWidth="1"/>
    <col min="6" max="14" width="8.88671875" style="1"/>
    <col min="15" max="15" width="10.109375" style="1" bestFit="1" customWidth="1"/>
    <col min="16" max="16" width="8.88671875" style="1"/>
    <col min="17" max="17" width="17.6640625" style="1" customWidth="1"/>
    <col min="18" max="18" width="8.6640625" style="1" customWidth="1"/>
    <col min="19" max="19" width="10.33203125" style="1" customWidth="1"/>
    <col min="20" max="20" width="8.77734375" style="1" bestFit="1" customWidth="1"/>
    <col min="21" max="21" width="9.109375" style="1" customWidth="1"/>
    <col min="22" max="16384" width="8.88671875" style="1"/>
  </cols>
  <sheetData>
    <row r="1" spans="2:30">
      <c r="O1" s="5"/>
      <c r="Q1" s="16"/>
      <c r="R1" s="18"/>
      <c r="S1" s="16"/>
      <c r="T1" s="16"/>
      <c r="U1" s="16"/>
      <c r="V1" s="30"/>
    </row>
    <row r="2" spans="2:30" ht="16.8" customHeight="1">
      <c r="O2" s="4"/>
      <c r="Q2" s="16"/>
      <c r="R2" s="18"/>
      <c r="S2" s="31"/>
      <c r="T2" s="32"/>
      <c r="U2" s="33"/>
      <c r="V2" s="34"/>
    </row>
    <row r="3" spans="2:30">
      <c r="O3" s="4"/>
      <c r="Q3" s="16"/>
      <c r="R3" s="18"/>
      <c r="S3" s="31"/>
      <c r="T3" s="32"/>
      <c r="U3" s="33"/>
      <c r="V3" s="35"/>
    </row>
    <row r="4" spans="2:30">
      <c r="O4" s="4"/>
      <c r="Q4" s="16"/>
      <c r="R4" s="18"/>
      <c r="S4" s="31"/>
      <c r="T4" s="32"/>
      <c r="U4" s="33"/>
      <c r="V4" s="35"/>
    </row>
    <row r="5" spans="2:30" ht="14.4" customHeight="1">
      <c r="B5" s="46"/>
      <c r="C5" s="46"/>
      <c r="O5" s="2"/>
      <c r="Q5" s="16"/>
      <c r="R5" s="18"/>
      <c r="S5" s="31"/>
      <c r="T5" s="32"/>
      <c r="U5" s="33"/>
      <c r="V5" s="36"/>
    </row>
    <row r="6" spans="2:30">
      <c r="B6" s="49"/>
      <c r="C6" s="49"/>
      <c r="Q6" s="16"/>
      <c r="R6" s="18"/>
      <c r="S6" s="31"/>
      <c r="T6" s="32"/>
      <c r="U6" s="33"/>
      <c r="AD6" s="38">
        <f>INDEX(average_Healthcare_utilisation!C:C, MATCH("Readmitted (&lt;30 Days)", average_Healthcare_utilisation!A:A, 0))</f>
        <v>4.79</v>
      </c>
    </row>
    <row r="7" spans="2:30">
      <c r="Q7" s="16"/>
      <c r="R7" s="18"/>
      <c r="S7" s="31"/>
      <c r="T7" s="32"/>
      <c r="U7" s="33"/>
      <c r="AD7" s="1">
        <f>INDEX(average_Healthcare_utilisation!C:C, MATCH("Not Readmitted", average_Healthcare_utilisation!A:A, 0))</f>
        <v>4.22</v>
      </c>
    </row>
    <row r="8" spans="2:30">
      <c r="Q8" s="16"/>
      <c r="R8" s="18"/>
      <c r="S8" s="31"/>
      <c r="T8" s="32"/>
      <c r="U8" s="33"/>
      <c r="AD8" s="1">
        <f>AD6 -AD7</f>
        <v>0.57000000000000028</v>
      </c>
    </row>
    <row r="9" spans="2:30">
      <c r="Q9" s="16"/>
      <c r="R9" s="18"/>
      <c r="S9" s="31"/>
      <c r="T9" s="32"/>
      <c r="U9" s="33"/>
      <c r="AD9" s="39">
        <f>(AD8)*(overall_readmission!A2*(overall_readmission!D2/100))</f>
        <v>3582.3545820000022</v>
      </c>
    </row>
    <row r="10" spans="2:30" ht="23.4" customHeight="1">
      <c r="B10" s="36" t="s">
        <v>108</v>
      </c>
      <c r="C10" s="50">
        <v>1500</v>
      </c>
      <c r="E10" s="48" t="str">
        <f>"🚨 $ " &amp; ROUND(ROUND(AD9 *C11, 0) / 1000000, 2) &amp;  " in avoidable costs!"</f>
        <v>🚨 $ 19249.9 in avoidable costs!</v>
      </c>
      <c r="F10" s="48"/>
      <c r="G10" s="48"/>
      <c r="H10" s="48"/>
      <c r="I10" s="48"/>
      <c r="J10" s="48"/>
      <c r="K10" s="48"/>
      <c r="L10" s="48"/>
      <c r="M10" s="48"/>
      <c r="Q10" s="16"/>
      <c r="R10" s="18"/>
      <c r="S10" s="31"/>
      <c r="T10" s="32"/>
      <c r="U10" s="33"/>
    </row>
    <row r="11" spans="2:30" ht="14.4" customHeight="1">
      <c r="B11" s="30" t="s">
        <v>113</v>
      </c>
      <c r="C11" s="51">
        <f>ROUND(AD9* C10,0)</f>
        <v>5373532</v>
      </c>
      <c r="D11" s="39"/>
      <c r="E11" s="48"/>
      <c r="F11" s="48"/>
      <c r="G11" s="48"/>
      <c r="H11" s="48"/>
      <c r="I11" s="48"/>
      <c r="J11" s="48"/>
      <c r="K11" s="48"/>
      <c r="L11" s="48"/>
      <c r="M11" s="48"/>
      <c r="Q11" s="16"/>
      <c r="R11" s="18"/>
      <c r="S11" s="31"/>
      <c r="T11" s="32"/>
      <c r="U11" s="33"/>
    </row>
    <row r="12" spans="2:30">
      <c r="Q12" s="16"/>
      <c r="R12" s="18"/>
      <c r="S12" s="31"/>
      <c r="T12" s="32"/>
      <c r="U12" s="33"/>
    </row>
    <row r="14" spans="2:30" ht="14.4" customHeight="1">
      <c r="B14" s="40" t="s">
        <v>109</v>
      </c>
      <c r="C14" s="41" t="s">
        <v>110</v>
      </c>
      <c r="D14" s="42" t="s">
        <v>111</v>
      </c>
      <c r="E14" s="42" t="s">
        <v>112</v>
      </c>
    </row>
    <row r="15" spans="2:30" ht="18.600000000000001" customHeight="1">
      <c r="B15" s="43" t="str">
        <f>length_of_stay!A2</f>
        <v>Short Stay (1-3 Days)</v>
      </c>
      <c r="C15" s="43">
        <f>length_of_stay!B2</f>
        <v>35144</v>
      </c>
      <c r="D15" s="43">
        <f>length_of_stay!C2</f>
        <v>2647</v>
      </c>
      <c r="E15" s="43">
        <f>length_of_stay!D2</f>
        <v>7.53</v>
      </c>
      <c r="O15" s="4"/>
    </row>
    <row r="16" spans="2:30">
      <c r="B16" s="43" t="str">
        <f>length_of_stay!A3</f>
        <v>Moderate Stay (4-7 Days)</v>
      </c>
      <c r="C16" s="43">
        <f>length_of_stay!B3</f>
        <v>25075</v>
      </c>
      <c r="D16" s="43">
        <f>length_of_stay!C3</f>
        <v>2486</v>
      </c>
      <c r="E16" s="43">
        <f>length_of_stay!D3</f>
        <v>9.91</v>
      </c>
    </row>
    <row r="17" spans="1:5">
      <c r="B17" s="43" t="str">
        <f>length_of_stay!A4</f>
        <v>Long Stay (8+ Days)</v>
      </c>
      <c r="C17" s="43">
        <f>length_of_stay!B4</f>
        <v>9768</v>
      </c>
      <c r="D17" s="43">
        <f>length_of_stay!C4</f>
        <v>1152</v>
      </c>
      <c r="E17" s="43">
        <f>length_of_stay!D4</f>
        <v>11.79</v>
      </c>
    </row>
    <row r="20" spans="1:5">
      <c r="A20" s="19"/>
    </row>
    <row r="21" spans="1:5">
      <c r="A21" s="18"/>
    </row>
    <row r="27" spans="1:5">
      <c r="B27" s="44"/>
    </row>
  </sheetData>
  <mergeCells count="3">
    <mergeCell ref="E10:M11"/>
    <mergeCell ref="B5:C5"/>
    <mergeCell ref="B6:C6"/>
  </mergeCells>
  <conditionalFormatting sqref="B11">
    <cfRule type="colorScale" priority="6">
      <colorScale>
        <cfvo type="min"/>
        <cfvo type="max"/>
        <color theme="0" tint="-0.249977111117893"/>
        <color rgb="FFC00000"/>
      </colorScale>
    </cfRule>
  </conditionalFormatting>
  <conditionalFormatting sqref="C15:C1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{E1B41C8A-C487-46FC-B2AA-D8FF9E3D9758}</x14:id>
        </ext>
      </extLst>
    </cfRule>
  </conditionalFormatting>
  <conditionalFormatting sqref="E10">
    <cfRule type="colorScale" priority="3">
      <colorScale>
        <cfvo type="min"/>
        <cfvo type="max"/>
        <color rgb="FFFF7128"/>
        <color rgb="FFCC2C00"/>
      </colorScale>
    </cfRule>
    <cfRule type="colorScale" priority="4">
      <colorScale>
        <cfvo type="min"/>
        <cfvo type="max"/>
        <color rgb="FFFF7128"/>
        <color rgb="FFFFEF9C"/>
      </colorScale>
    </cfRule>
  </conditionalFormatting>
  <conditionalFormatting sqref="E15:E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:O4">
    <cfRule type="iconSet" priority="8">
      <iconSet>
        <cfvo type="percent" val="0"/>
        <cfvo type="percent" val="0"/>
        <cfvo type="percent" val="67"/>
      </iconSet>
    </cfRule>
  </conditionalFormatting>
  <conditionalFormatting sqref="O15">
    <cfRule type="iconSet" priority="7">
      <iconSet>
        <cfvo type="percent" val="0"/>
        <cfvo type="percent" val="0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B41C8A-C487-46FC-B2AA-D8FF9E3D97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C15:C17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E3B8-EE98-46A3-9F9A-DABEC2F0C3C7}">
  <dimension ref="A1:V27"/>
  <sheetViews>
    <sheetView zoomScale="130" zoomScaleNormal="130" workbookViewId="0">
      <selection activeCell="Q15" sqref="Q15"/>
    </sheetView>
  </sheetViews>
  <sheetFormatPr defaultRowHeight="14.4"/>
  <cols>
    <col min="15" max="15" width="10.109375" bestFit="1" customWidth="1"/>
    <col min="17" max="17" width="17.6640625" style="1" customWidth="1"/>
    <col min="18" max="18" width="8.6640625" customWidth="1"/>
    <col min="19" max="19" width="10.33203125" customWidth="1"/>
    <col min="20" max="20" width="8.77734375" bestFit="1" customWidth="1"/>
    <col min="21" max="21" width="9.1093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5"/>
      <c r="P1" s="1"/>
      <c r="Q1" s="16"/>
      <c r="R1" s="7"/>
      <c r="S1" s="6"/>
      <c r="T1" s="6"/>
      <c r="U1" s="6"/>
      <c r="V1" s="20">
        <f>Query2[total_encounter]</f>
        <v>69987</v>
      </c>
    </row>
    <row r="2" spans="1:22" ht="16.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4"/>
      <c r="P2" s="1"/>
      <c r="Q2" s="16"/>
      <c r="R2" s="7"/>
      <c r="S2" s="9"/>
      <c r="T2" s="10"/>
      <c r="U2" s="11"/>
      <c r="V2" s="13">
        <f>overall_readmission!D2/100</f>
        <v>8.9800000000000005E-2</v>
      </c>
    </row>
    <row r="3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/>
      <c r="P3" s="1"/>
      <c r="Q3" s="16"/>
      <c r="R3" s="7"/>
      <c r="S3" s="9"/>
      <c r="T3" s="10"/>
      <c r="U3" s="11"/>
      <c r="V3" s="14">
        <f>V2 - 0.15</f>
        <v>-6.019999999999999E-2</v>
      </c>
    </row>
    <row r="4" spans="1:22" ht="14.4" customHeight="1">
      <c r="A4" s="1"/>
      <c r="B4" s="46"/>
      <c r="C4" s="4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1"/>
      <c r="Q4" s="16"/>
      <c r="R4" s="7"/>
      <c r="S4" s="9"/>
      <c r="T4" s="10"/>
      <c r="U4" s="11"/>
      <c r="V4" s="15">
        <f>ROUND(V1 * V3, 0)</f>
        <v>-4213</v>
      </c>
    </row>
    <row r="5" spans="1:22">
      <c r="A5" s="1"/>
      <c r="B5" s="49"/>
      <c r="C5" s="4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6"/>
      <c r="R5" s="7"/>
      <c r="S5" s="9"/>
      <c r="T5" s="10"/>
      <c r="U5" s="11"/>
    </row>
    <row r="6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6"/>
      <c r="R6" s="7"/>
      <c r="S6" s="9"/>
      <c r="T6" s="10"/>
      <c r="U6" s="11"/>
    </row>
    <row r="7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6"/>
      <c r="R7" s="7"/>
      <c r="S7" s="9"/>
      <c r="T7" s="10"/>
      <c r="U7" s="11"/>
    </row>
    <row r="8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6"/>
      <c r="R8" s="7"/>
      <c r="S8" s="9"/>
      <c r="T8" s="10"/>
      <c r="U8" s="11"/>
    </row>
    <row r="9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6"/>
      <c r="R9" s="7"/>
      <c r="S9" s="9"/>
      <c r="T9" s="10"/>
      <c r="U9" s="11"/>
    </row>
    <row r="10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6"/>
      <c r="R10" s="7"/>
      <c r="S10" s="9"/>
      <c r="T10" s="10"/>
      <c r="U10" s="11"/>
    </row>
    <row r="1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6"/>
      <c r="R11" s="7"/>
      <c r="S11" s="9"/>
      <c r="T11" s="10"/>
      <c r="U11" s="11"/>
    </row>
    <row r="12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"/>
      <c r="P14" s="1"/>
    </row>
    <row r="15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7">
      <c r="A19" s="45" t="str">
        <f>"EXECUTIVE MANDATE: The hospital is operating " &amp; TEXT(V3, "0.0%") &amp; " relative to the CMS benchmark. Clinical management target: " &amp; TEXT(V4, "#,##0") &amp; " readmissions variance. Priority intervention: " &amp; INDEX(Query4[diagnosis_category], MATCH(MAX(Query4[readmission_rate_pct]), Query4[readmission_rate_pct], 0)) &amp; " (RRI " &amp; TEXT(MAX(Query4[Relative rate index]), "0.00") &amp; "x average)."</f>
        <v>EXECUTIVE MANDATE: The hospital is operating -6.0% relative to the CMS benchmark. Clinical management target: -4,213 readmissions variance. Priority intervention: External/Supplementary (RRI 1.50x average).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7">
      <c r="A20" s="18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7">
      <c r="Q26"/>
    </row>
    <row r="27" spans="1:17">
      <c r="Q27"/>
    </row>
  </sheetData>
  <mergeCells count="2">
    <mergeCell ref="B4:C4"/>
    <mergeCell ref="B5:C5"/>
  </mergeCells>
  <conditionalFormatting sqref="O3">
    <cfRule type="iconSet" priority="2">
      <iconSet>
        <cfvo type="percent" val="0"/>
        <cfvo type="percent" val="0"/>
        <cfvo type="percent" val="67"/>
      </iconSet>
    </cfRule>
  </conditionalFormatting>
  <conditionalFormatting sqref="O14">
    <cfRule type="iconSet" priority="1">
      <iconSet>
        <cfvo type="percent" val="0"/>
        <cfvo type="percent" val="0"/>
        <cfvo type="percent" val="67"/>
      </iconSet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0E6D-01E9-4920-9A9E-088BE7B407A9}">
  <dimension ref="A1:C8"/>
  <sheetViews>
    <sheetView topLeftCell="E1" workbookViewId="0">
      <selection activeCell="C11" sqref="C11"/>
    </sheetView>
  </sheetViews>
  <sheetFormatPr defaultRowHeight="14.4"/>
  <cols>
    <col min="1" max="1" width="39.5546875" bestFit="1" customWidth="1"/>
    <col min="2" max="2" width="12.44140625" bestFit="1" customWidth="1"/>
    <col min="3" max="3" width="56.21875" bestFit="1" customWidth="1"/>
  </cols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 t="s">
        <v>81</v>
      </c>
    </row>
    <row r="3" spans="1:3">
      <c r="A3" t="s">
        <v>82</v>
      </c>
      <c r="B3" t="s">
        <v>83</v>
      </c>
      <c r="C3" t="s">
        <v>84</v>
      </c>
    </row>
    <row r="4" spans="1:3">
      <c r="A4" t="s">
        <v>85</v>
      </c>
      <c r="B4" t="s">
        <v>99</v>
      </c>
      <c r="C4" t="s">
        <v>86</v>
      </c>
    </row>
    <row r="5" spans="1:3">
      <c r="A5" t="s">
        <v>87</v>
      </c>
      <c r="B5" t="s">
        <v>88</v>
      </c>
      <c r="C5" t="s">
        <v>89</v>
      </c>
    </row>
    <row r="6" spans="1:3">
      <c r="A6" t="s">
        <v>100</v>
      </c>
      <c r="B6" t="s">
        <v>101</v>
      </c>
      <c r="C6" t="s">
        <v>102</v>
      </c>
    </row>
    <row r="7" spans="1:3">
      <c r="A7" t="s">
        <v>90</v>
      </c>
      <c r="B7" t="s">
        <v>91</v>
      </c>
      <c r="C7" t="s">
        <v>92</v>
      </c>
    </row>
    <row r="8" spans="1:3">
      <c r="A8" t="s">
        <v>93</v>
      </c>
      <c r="B8" t="s">
        <v>94</v>
      </c>
      <c r="C8" t="s">
        <v>95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4C15-0B51-4519-8E66-090119F0B0DF}">
  <dimension ref="A1:D28"/>
  <sheetViews>
    <sheetView workbookViewId="0">
      <selection activeCell="A11" sqref="A11"/>
    </sheetView>
  </sheetViews>
  <sheetFormatPr defaultRowHeight="14.4"/>
  <cols>
    <col min="1" max="1" width="32" bestFit="1" customWidth="1"/>
    <col min="2" max="2" width="17.6640625" bestFit="1" customWidth="1"/>
    <col min="3" max="3" width="19.109375" bestFit="1" customWidth="1"/>
    <col min="4" max="4" width="21.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19498</v>
      </c>
      <c r="C2">
        <v>1423</v>
      </c>
      <c r="D2">
        <v>7.3</v>
      </c>
    </row>
    <row r="3" spans="1:4">
      <c r="A3" t="s">
        <v>5</v>
      </c>
      <c r="B3">
        <v>35046</v>
      </c>
      <c r="C3">
        <v>3246</v>
      </c>
      <c r="D3">
        <v>9.26</v>
      </c>
    </row>
    <row r="4" spans="1:4">
      <c r="A4" t="s">
        <v>6</v>
      </c>
      <c r="B4">
        <v>15443</v>
      </c>
      <c r="C4">
        <v>1616</v>
      </c>
      <c r="D4">
        <v>10.46</v>
      </c>
    </row>
    <row r="11" spans="1:4">
      <c r="A11" s="21"/>
      <c r="B11" s="22"/>
      <c r="C11" s="23"/>
    </row>
    <row r="12" spans="1:4">
      <c r="A12" s="24"/>
      <c r="B12" s="25"/>
      <c r="C12" s="26"/>
    </row>
    <row r="13" spans="1:4">
      <c r="A13" s="24"/>
      <c r="B13" s="25"/>
      <c r="C13" s="26"/>
    </row>
    <row r="14" spans="1:4">
      <c r="A14" s="24"/>
      <c r="B14" s="25"/>
      <c r="C14" s="26"/>
    </row>
    <row r="15" spans="1:4">
      <c r="A15" s="24"/>
      <c r="B15" s="25"/>
      <c r="C15" s="26"/>
    </row>
    <row r="16" spans="1:4">
      <c r="A16" s="24"/>
      <c r="B16" s="25"/>
      <c r="C16" s="26"/>
    </row>
    <row r="17" spans="1:3">
      <c r="A17" s="24"/>
      <c r="B17" s="25"/>
      <c r="C17" s="26"/>
    </row>
    <row r="18" spans="1:3">
      <c r="A18" s="24"/>
      <c r="B18" s="25"/>
      <c r="C18" s="26"/>
    </row>
    <row r="19" spans="1:3">
      <c r="A19" s="24"/>
      <c r="B19" s="25"/>
      <c r="C19" s="26"/>
    </row>
    <row r="20" spans="1:3">
      <c r="A20" s="24"/>
      <c r="B20" s="25"/>
      <c r="C20" s="26"/>
    </row>
    <row r="21" spans="1:3">
      <c r="A21" s="24"/>
      <c r="B21" s="25"/>
      <c r="C21" s="26"/>
    </row>
    <row r="22" spans="1:3">
      <c r="A22" s="24"/>
      <c r="B22" s="25"/>
      <c r="C22" s="26"/>
    </row>
    <row r="23" spans="1:3">
      <c r="A23" s="24"/>
      <c r="B23" s="25"/>
      <c r="C23" s="26"/>
    </row>
    <row r="24" spans="1:3">
      <c r="A24" s="24"/>
      <c r="B24" s="25"/>
      <c r="C24" s="26"/>
    </row>
    <row r="25" spans="1:3">
      <c r="A25" s="24"/>
      <c r="B25" s="25"/>
      <c r="C25" s="26"/>
    </row>
    <row r="26" spans="1:3">
      <c r="A26" s="24"/>
      <c r="B26" s="25"/>
      <c r="C26" s="26"/>
    </row>
    <row r="27" spans="1:3">
      <c r="A27" s="24"/>
      <c r="B27" s="25"/>
      <c r="C27" s="26"/>
    </row>
    <row r="28" spans="1:3">
      <c r="A28" s="27"/>
      <c r="B28" s="28"/>
      <c r="C28" s="29"/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0C68-441F-46F3-9DF8-9006C7780328}">
  <dimension ref="A1:E2"/>
  <sheetViews>
    <sheetView workbookViewId="0">
      <selection activeCell="D2" sqref="D2"/>
    </sheetView>
  </sheetViews>
  <sheetFormatPr defaultRowHeight="14.4"/>
  <cols>
    <col min="1" max="1" width="16.88671875" bestFit="1" customWidth="1"/>
    <col min="2" max="2" width="17.5546875" bestFit="1" customWidth="1"/>
    <col min="3" max="3" width="14.77734375" bestFit="1" customWidth="1"/>
    <col min="4" max="4" width="17.77734375" bestFit="1" customWidth="1"/>
    <col min="5" max="5" width="26" bestFit="1" customWidth="1"/>
  </cols>
  <sheetData>
    <row r="1" spans="1: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>
      <c r="A2">
        <v>69987</v>
      </c>
      <c r="B2">
        <v>6285</v>
      </c>
      <c r="C2">
        <v>63702</v>
      </c>
      <c r="D2" s="3">
        <v>8.98</v>
      </c>
      <c r="E2">
        <v>91.02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1C48-254E-4CBC-A615-70A47B3EB7F1}">
  <dimension ref="A1:E11"/>
  <sheetViews>
    <sheetView workbookViewId="0"/>
  </sheetViews>
  <sheetFormatPr defaultRowHeight="14.4"/>
  <cols>
    <col min="1" max="1" width="12.21875" bestFit="1" customWidth="1"/>
    <col min="2" max="2" width="10.44140625" bestFit="1" customWidth="1"/>
    <col min="3" max="3" width="14.88671875" bestFit="1" customWidth="1"/>
    <col min="4" max="4" width="14.109375" bestFit="1" customWidth="1"/>
    <col min="5" max="5" width="21.5546875" bestFit="1" customWidth="1"/>
  </cols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3</v>
      </c>
    </row>
    <row r="2" spans="1:5">
      <c r="A2" t="s">
        <v>16</v>
      </c>
      <c r="B2">
        <v>5</v>
      </c>
      <c r="C2">
        <v>153</v>
      </c>
      <c r="D2">
        <v>3</v>
      </c>
      <c r="E2">
        <v>1.96</v>
      </c>
    </row>
    <row r="3" spans="1:5">
      <c r="A3" t="s">
        <v>17</v>
      </c>
      <c r="B3">
        <v>15</v>
      </c>
      <c r="C3">
        <v>534</v>
      </c>
      <c r="D3">
        <v>26</v>
      </c>
      <c r="E3">
        <v>4.87</v>
      </c>
    </row>
    <row r="4" spans="1:5">
      <c r="A4" t="s">
        <v>18</v>
      </c>
      <c r="B4">
        <v>25</v>
      </c>
      <c r="C4">
        <v>1121</v>
      </c>
      <c r="D4">
        <v>83</v>
      </c>
      <c r="E4">
        <v>7.4</v>
      </c>
    </row>
    <row r="5" spans="1:5">
      <c r="A5" t="s">
        <v>19</v>
      </c>
      <c r="B5">
        <v>35</v>
      </c>
      <c r="C5">
        <v>2692</v>
      </c>
      <c r="D5">
        <v>188</v>
      </c>
      <c r="E5">
        <v>6.98</v>
      </c>
    </row>
    <row r="6" spans="1:5">
      <c r="A6" t="s">
        <v>20</v>
      </c>
      <c r="B6">
        <v>45</v>
      </c>
      <c r="C6">
        <v>6828</v>
      </c>
      <c r="D6">
        <v>506</v>
      </c>
      <c r="E6">
        <v>7.41</v>
      </c>
    </row>
    <row r="7" spans="1:5">
      <c r="A7" t="s">
        <v>21</v>
      </c>
      <c r="B7">
        <v>55</v>
      </c>
      <c r="C7">
        <v>12351</v>
      </c>
      <c r="D7">
        <v>880</v>
      </c>
      <c r="E7">
        <v>7.12</v>
      </c>
    </row>
    <row r="8" spans="1:5">
      <c r="A8" t="s">
        <v>22</v>
      </c>
      <c r="B8">
        <v>65</v>
      </c>
      <c r="C8">
        <v>15688</v>
      </c>
      <c r="D8">
        <v>1415</v>
      </c>
      <c r="E8">
        <v>9.02</v>
      </c>
    </row>
    <row r="9" spans="1:5">
      <c r="A9" t="s">
        <v>23</v>
      </c>
      <c r="B9">
        <v>75</v>
      </c>
      <c r="C9">
        <v>17749</v>
      </c>
      <c r="D9">
        <v>1817</v>
      </c>
      <c r="E9">
        <v>10.24</v>
      </c>
    </row>
    <row r="10" spans="1:5">
      <c r="A10" t="s">
        <v>24</v>
      </c>
      <c r="B10">
        <v>85</v>
      </c>
      <c r="C10">
        <v>11110</v>
      </c>
      <c r="D10">
        <v>1199</v>
      </c>
      <c r="E10">
        <v>10.79</v>
      </c>
    </row>
    <row r="11" spans="1:5">
      <c r="A11" t="s">
        <v>25</v>
      </c>
      <c r="B11">
        <v>95</v>
      </c>
      <c r="C11">
        <v>1761</v>
      </c>
      <c r="D11">
        <v>168</v>
      </c>
      <c r="E11">
        <v>9.5399999999999991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2F39-D24A-46B5-A8E4-EFE64E33EB58}">
  <dimension ref="A1:E13"/>
  <sheetViews>
    <sheetView workbookViewId="0"/>
  </sheetViews>
  <sheetFormatPr defaultRowHeight="14.4"/>
  <cols>
    <col min="1" max="1" width="22" bestFit="1" customWidth="1"/>
    <col min="2" max="2" width="18.5546875" bestFit="1" customWidth="1"/>
    <col min="3" max="3" width="14.88671875" bestFit="1" customWidth="1"/>
    <col min="4" max="4" width="14.109375" bestFit="1" customWidth="1"/>
    <col min="5" max="5" width="21.5546875" bestFit="1" customWidth="1"/>
  </cols>
  <sheetData>
    <row r="1" spans="1:5">
      <c r="A1" t="s">
        <v>37</v>
      </c>
      <c r="B1" t="s">
        <v>38</v>
      </c>
      <c r="C1" t="s">
        <v>14</v>
      </c>
      <c r="D1" t="s">
        <v>15</v>
      </c>
      <c r="E1" t="s">
        <v>3</v>
      </c>
    </row>
    <row r="2" spans="1:5">
      <c r="A2" t="s">
        <v>39</v>
      </c>
      <c r="B2">
        <v>0</v>
      </c>
      <c r="C2">
        <v>61792</v>
      </c>
      <c r="D2">
        <v>5023</v>
      </c>
      <c r="E2">
        <v>8.1300000000000008</v>
      </c>
    </row>
    <row r="3" spans="1:5">
      <c r="A3" t="s">
        <v>40</v>
      </c>
      <c r="B3">
        <v>1</v>
      </c>
      <c r="C3">
        <v>5798</v>
      </c>
      <c r="D3">
        <v>747</v>
      </c>
      <c r="E3">
        <v>12.88</v>
      </c>
    </row>
    <row r="4" spans="1:5">
      <c r="A4" t="s">
        <v>41</v>
      </c>
      <c r="B4">
        <v>2</v>
      </c>
      <c r="C4">
        <v>1501</v>
      </c>
      <c r="D4">
        <v>278</v>
      </c>
      <c r="E4">
        <v>18.52</v>
      </c>
    </row>
    <row r="5" spans="1:5">
      <c r="A5" t="s">
        <v>42</v>
      </c>
      <c r="B5">
        <v>3</v>
      </c>
      <c r="C5">
        <v>463</v>
      </c>
      <c r="D5">
        <v>110</v>
      </c>
      <c r="E5">
        <v>23.76</v>
      </c>
    </row>
    <row r="6" spans="1:5">
      <c r="A6" t="s">
        <v>42</v>
      </c>
      <c r="B6">
        <v>4</v>
      </c>
      <c r="C6">
        <v>228</v>
      </c>
      <c r="D6">
        <v>54</v>
      </c>
      <c r="E6">
        <v>23.68</v>
      </c>
    </row>
    <row r="7" spans="1:5">
      <c r="A7" t="s">
        <v>42</v>
      </c>
      <c r="B7">
        <v>5</v>
      </c>
      <c r="C7">
        <v>102</v>
      </c>
      <c r="D7">
        <v>29</v>
      </c>
      <c r="E7">
        <v>28.43</v>
      </c>
    </row>
    <row r="8" spans="1:5">
      <c r="A8" t="s">
        <v>43</v>
      </c>
      <c r="B8">
        <v>6</v>
      </c>
      <c r="C8">
        <v>55</v>
      </c>
      <c r="D8">
        <v>22</v>
      </c>
      <c r="E8">
        <v>40</v>
      </c>
    </row>
    <row r="9" spans="1:5">
      <c r="A9" t="s">
        <v>43</v>
      </c>
      <c r="B9">
        <v>7</v>
      </c>
      <c r="C9">
        <v>19</v>
      </c>
      <c r="D9">
        <v>9</v>
      </c>
      <c r="E9">
        <v>47.37</v>
      </c>
    </row>
    <row r="10" spans="1:5">
      <c r="A10" t="s">
        <v>43</v>
      </c>
      <c r="B10">
        <v>8</v>
      </c>
      <c r="C10">
        <v>13</v>
      </c>
      <c r="D10">
        <v>3</v>
      </c>
      <c r="E10">
        <v>23.08</v>
      </c>
    </row>
    <row r="11" spans="1:5">
      <c r="A11" t="s">
        <v>43</v>
      </c>
      <c r="B11">
        <v>9</v>
      </c>
      <c r="C11">
        <v>7</v>
      </c>
      <c r="D11">
        <v>3</v>
      </c>
      <c r="E11">
        <v>42.86</v>
      </c>
    </row>
    <row r="12" spans="1:5">
      <c r="A12" t="s">
        <v>43</v>
      </c>
      <c r="B12">
        <v>10</v>
      </c>
      <c r="C12">
        <v>5</v>
      </c>
      <c r="D12">
        <v>4</v>
      </c>
      <c r="E12">
        <v>80</v>
      </c>
    </row>
    <row r="13" spans="1:5">
      <c r="A13" t="s">
        <v>43</v>
      </c>
      <c r="B13">
        <v>11</v>
      </c>
      <c r="C13">
        <v>2</v>
      </c>
      <c r="D13">
        <v>1</v>
      </c>
      <c r="E13">
        <v>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AB05-6DBB-4895-843F-C367D8619A68}">
  <dimension ref="A1:G11"/>
  <sheetViews>
    <sheetView workbookViewId="0">
      <selection activeCell="C20" sqref="C20"/>
    </sheetView>
  </sheetViews>
  <sheetFormatPr defaultRowHeight="14.4"/>
  <cols>
    <col min="1" max="1" width="20.77734375" bestFit="1" customWidth="1"/>
    <col min="2" max="2" width="17.6640625" bestFit="1" customWidth="1"/>
    <col min="3" max="3" width="14.109375" bestFit="1" customWidth="1"/>
    <col min="4" max="4" width="21.5546875" bestFit="1" customWidth="1"/>
    <col min="5" max="5" width="17.88671875" bestFit="1" customWidth="1"/>
    <col min="6" max="6" width="18.77734375" bestFit="1" customWidth="1"/>
    <col min="7" max="7" width="25.21875" bestFit="1" customWidth="1"/>
  </cols>
  <sheetData>
    <row r="1" spans="1:7">
      <c r="A1" t="s">
        <v>26</v>
      </c>
      <c r="B1" t="s">
        <v>1</v>
      </c>
      <c r="C1" t="s">
        <v>15</v>
      </c>
      <c r="D1" t="s">
        <v>3</v>
      </c>
      <c r="E1" t="s">
        <v>97</v>
      </c>
      <c r="F1" t="s">
        <v>96</v>
      </c>
      <c r="G1" t="s">
        <v>98</v>
      </c>
    </row>
    <row r="2" spans="1:7">
      <c r="A2" t="s">
        <v>27</v>
      </c>
      <c r="B2">
        <v>919</v>
      </c>
      <c r="C2">
        <v>124</v>
      </c>
      <c r="D2">
        <v>13.49</v>
      </c>
      <c r="E2">
        <f>diagnosis_category!D2:D11 / 100</f>
        <v>0.13489999999999999</v>
      </c>
      <c r="F2">
        <f>Query4[[#This Row],[readmision rate%]]/'stretegic performance'!$V$2</f>
        <v>1.5022271714922046</v>
      </c>
      <c r="G2" s="8">
        <f>diagnosis_category!C2 / SUM(diagnosis_category!$C$2:$C$11)</f>
        <v>1.9729514717581543E-2</v>
      </c>
    </row>
    <row r="3" spans="1:7">
      <c r="A3" t="s">
        <v>28</v>
      </c>
      <c r="B3">
        <v>4694</v>
      </c>
      <c r="C3">
        <v>507</v>
      </c>
      <c r="D3">
        <v>10.8</v>
      </c>
      <c r="E3">
        <f>diagnosis_category!D3:D12 / 100</f>
        <v>0.10800000000000001</v>
      </c>
      <c r="F3">
        <f>Query4[[#This Row],[readmision rate%]]/'stretegic performance'!$V$2</f>
        <v>1.2026726057906461</v>
      </c>
      <c r="G3" s="8">
        <f>diagnosis_category!C3 / SUM(diagnosis_category!$C$2:$C$11)</f>
        <v>8.066825775656325E-2</v>
      </c>
    </row>
    <row r="4" spans="1:7">
      <c r="A4" t="s">
        <v>29</v>
      </c>
      <c r="B4">
        <v>21389</v>
      </c>
      <c r="C4">
        <v>2070</v>
      </c>
      <c r="D4">
        <v>9.68</v>
      </c>
      <c r="E4">
        <f>diagnosis_category!D4:D13 / 100</f>
        <v>9.6799999999999997E-2</v>
      </c>
      <c r="F4">
        <f>Query4[[#This Row],[readmision rate%]]/'stretegic performance'!$V$2</f>
        <v>1.0779510022271714</v>
      </c>
      <c r="G4" s="8">
        <f>diagnosis_category!C4 / SUM(diagnosis_category!$C$2:$C$11)</f>
        <v>0.32935560859188545</v>
      </c>
    </row>
    <row r="5" spans="1:7">
      <c r="A5" t="s">
        <v>30</v>
      </c>
      <c r="B5">
        <v>5748</v>
      </c>
      <c r="C5">
        <v>524</v>
      </c>
      <c r="D5">
        <v>9.1199999999999992</v>
      </c>
      <c r="E5">
        <f>diagnosis_category!D5:D14 / 100</f>
        <v>9.1199999999999989E-2</v>
      </c>
      <c r="F5">
        <f>Query4[[#This Row],[readmision rate%]]/'stretegic performance'!$V$2</f>
        <v>1.015590200445434</v>
      </c>
      <c r="G5" s="12">
        <f>diagnosis_category!C5 / SUM(diagnosis_category!$C$2:$C$11)</f>
        <v>8.3373110580747811E-2</v>
      </c>
    </row>
    <row r="6" spans="1:7">
      <c r="A6" t="s">
        <v>31</v>
      </c>
      <c r="B6">
        <v>2538</v>
      </c>
      <c r="C6">
        <v>230</v>
      </c>
      <c r="D6">
        <v>9.06</v>
      </c>
      <c r="E6">
        <f>diagnosis_category!D6:D15 / 100</f>
        <v>9.06E-2</v>
      </c>
      <c r="F6">
        <f>Query4[[#This Row],[readmision rate%]]/'stretegic performance'!$V$2</f>
        <v>1.0089086859688194</v>
      </c>
      <c r="G6" s="8">
        <f>diagnosis_category!C6 / SUM(diagnosis_category!$C$2:$C$11)</f>
        <v>3.6595067621320608E-2</v>
      </c>
    </row>
    <row r="7" spans="1:7">
      <c r="A7" t="s">
        <v>32</v>
      </c>
      <c r="B7">
        <v>3441</v>
      </c>
      <c r="C7">
        <v>309</v>
      </c>
      <c r="D7">
        <v>8.98</v>
      </c>
      <c r="E7">
        <f>diagnosis_category!D7:D16 / 100</f>
        <v>8.9800000000000005E-2</v>
      </c>
      <c r="F7">
        <f>Query4[[#This Row],[readmision rate%]]/'stretegic performance'!$V$2</f>
        <v>1</v>
      </c>
      <c r="G7" s="8">
        <f>diagnosis_category!C7 / SUM(diagnosis_category!$C$2:$C$11)</f>
        <v>4.9164677804295939E-2</v>
      </c>
    </row>
    <row r="8" spans="1:7">
      <c r="A8" t="s">
        <v>33</v>
      </c>
      <c r="B8">
        <v>11215</v>
      </c>
      <c r="C8">
        <v>967</v>
      </c>
      <c r="D8">
        <v>8.6199999999999992</v>
      </c>
      <c r="E8">
        <f>diagnosis_category!D8:D17 / 100</f>
        <v>8.6199999999999999E-2</v>
      </c>
      <c r="F8">
        <f>Query4[[#This Row],[readmision rate%]]/'stretegic performance'!$V$2</f>
        <v>0.95991091314031174</v>
      </c>
      <c r="G8" s="8">
        <f>diagnosis_category!C8 / SUM(diagnosis_category!$C$2:$C$11)</f>
        <v>0.15385839299920445</v>
      </c>
    </row>
    <row r="9" spans="1:7">
      <c r="A9" t="s">
        <v>34</v>
      </c>
      <c r="B9">
        <v>4064</v>
      </c>
      <c r="C9">
        <v>341</v>
      </c>
      <c r="D9">
        <v>8.39</v>
      </c>
      <c r="E9">
        <f>diagnosis_category!D9:D18 / 100</f>
        <v>8.3900000000000002E-2</v>
      </c>
      <c r="F9">
        <f>Query4[[#This Row],[readmision rate%]]/'stretegic performance'!$V$2</f>
        <v>0.9342984409799554</v>
      </c>
      <c r="G9" s="8">
        <f>diagnosis_category!C9 / SUM(diagnosis_category!$C$2:$C$11)</f>
        <v>5.4256165473349244E-2</v>
      </c>
    </row>
    <row r="10" spans="1:7">
      <c r="A10" t="s">
        <v>35</v>
      </c>
      <c r="B10">
        <v>6488</v>
      </c>
      <c r="C10">
        <v>520</v>
      </c>
      <c r="D10">
        <v>8.01</v>
      </c>
      <c r="E10">
        <f>diagnosis_category!D10:D19 / 100</f>
        <v>8.0100000000000005E-2</v>
      </c>
      <c r="F10">
        <f>Query4[[#This Row],[readmision rate%]]/'stretegic performance'!$V$2</f>
        <v>0.89198218262806239</v>
      </c>
      <c r="G10" s="8">
        <f>diagnosis_category!C10 / SUM(diagnosis_category!$C$2:$C$11)</f>
        <v>8.2736674622116146E-2</v>
      </c>
    </row>
    <row r="11" spans="1:7">
      <c r="A11" t="s">
        <v>36</v>
      </c>
      <c r="B11">
        <v>9491</v>
      </c>
      <c r="C11">
        <v>693</v>
      </c>
      <c r="D11">
        <v>7.3</v>
      </c>
      <c r="E11">
        <f>diagnosis_category!D11:D20 / 100</f>
        <v>7.2999999999999995E-2</v>
      </c>
      <c r="F11">
        <f>Query4[[#This Row],[readmision rate%]]/'stretegic performance'!$V$2</f>
        <v>0.8129175946547883</v>
      </c>
      <c r="G11" s="8">
        <f>diagnosis_category!C11 / SUM(diagnosis_category!$C$2:$C$11)</f>
        <v>0.11026252983293557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83B9-8F6E-4D4E-AF35-91E7820646D9}">
  <dimension ref="A1:D7"/>
  <sheetViews>
    <sheetView workbookViewId="0"/>
  </sheetViews>
  <sheetFormatPr defaultRowHeight="14.4"/>
  <cols>
    <col min="1" max="1" width="11.5546875" bestFit="1" customWidth="1"/>
    <col min="2" max="2" width="15.109375" bestFit="1" customWidth="1"/>
    <col min="3" max="3" width="18.109375" customWidth="1"/>
    <col min="4" max="4" width="21.5546875" bestFit="1" customWidth="1"/>
  </cols>
  <sheetData>
    <row r="1" spans="1:4">
      <c r="A1" t="s">
        <v>44</v>
      </c>
      <c r="B1" t="s">
        <v>45</v>
      </c>
      <c r="C1" t="s">
        <v>15</v>
      </c>
      <c r="D1" t="s">
        <v>3</v>
      </c>
    </row>
    <row r="2" spans="1:4">
      <c r="A2">
        <v>0</v>
      </c>
      <c r="B2">
        <v>41363</v>
      </c>
      <c r="C2">
        <v>3254</v>
      </c>
      <c r="D2">
        <v>7.87</v>
      </c>
    </row>
    <row r="3" spans="1:4">
      <c r="A3">
        <v>1</v>
      </c>
      <c r="B3">
        <v>22067</v>
      </c>
      <c r="C3">
        <v>2229</v>
      </c>
      <c r="D3">
        <v>10.1</v>
      </c>
    </row>
    <row r="4" spans="1:4">
      <c r="A4">
        <v>2</v>
      </c>
      <c r="B4">
        <v>5697</v>
      </c>
      <c r="C4">
        <v>668</v>
      </c>
      <c r="D4">
        <v>11.73</v>
      </c>
    </row>
    <row r="5" spans="1:4">
      <c r="A5">
        <v>3</v>
      </c>
      <c r="B5">
        <v>805</v>
      </c>
      <c r="C5">
        <v>125</v>
      </c>
      <c r="D5">
        <v>15.53</v>
      </c>
    </row>
    <row r="6" spans="1:4">
      <c r="A6">
        <v>4</v>
      </c>
      <c r="B6">
        <v>54</v>
      </c>
      <c r="C6">
        <v>9</v>
      </c>
      <c r="D6">
        <v>16.670000000000002</v>
      </c>
    </row>
    <row r="7" spans="1:4">
      <c r="A7">
        <v>5</v>
      </c>
      <c r="B7">
        <v>1</v>
      </c>
      <c r="C7">
        <v>0</v>
      </c>
      <c r="D7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A28C-6DEE-49E0-A72D-8F6FBD152167}">
  <dimension ref="A1:E12"/>
  <sheetViews>
    <sheetView workbookViewId="0"/>
  </sheetViews>
  <sheetFormatPr defaultRowHeight="14.4"/>
  <cols>
    <col min="1" max="1" width="14.88671875" bestFit="1" customWidth="1"/>
    <col min="2" max="2" width="29.77734375" bestFit="1" customWidth="1"/>
    <col min="3" max="3" width="17.6640625" bestFit="1" customWidth="1"/>
    <col min="4" max="4" width="14.109375" bestFit="1" customWidth="1"/>
    <col min="5" max="5" width="21.5546875" bestFit="1" customWidth="1"/>
  </cols>
  <sheetData>
    <row r="1" spans="1:5">
      <c r="A1" t="s">
        <v>46</v>
      </c>
      <c r="B1" t="s">
        <v>47</v>
      </c>
      <c r="C1" t="s">
        <v>1</v>
      </c>
      <c r="D1" t="s">
        <v>15</v>
      </c>
      <c r="E1" t="s">
        <v>3</v>
      </c>
    </row>
    <row r="2" spans="1:5">
      <c r="A2">
        <v>22</v>
      </c>
      <c r="B2" t="s">
        <v>48</v>
      </c>
      <c r="C2">
        <v>1410</v>
      </c>
      <c r="D2">
        <v>372</v>
      </c>
      <c r="E2">
        <v>26.38</v>
      </c>
    </row>
    <row r="3" spans="1:5">
      <c r="A3">
        <v>5</v>
      </c>
      <c r="B3" t="s">
        <v>49</v>
      </c>
      <c r="C3">
        <v>913</v>
      </c>
      <c r="D3">
        <v>188</v>
      </c>
      <c r="E3">
        <v>20.59</v>
      </c>
    </row>
    <row r="4" spans="1:5">
      <c r="A4">
        <v>2</v>
      </c>
      <c r="B4" t="s">
        <v>50</v>
      </c>
      <c r="C4">
        <v>1541</v>
      </c>
      <c r="D4">
        <v>212</v>
      </c>
      <c r="E4">
        <v>13.76</v>
      </c>
    </row>
    <row r="5" spans="1:5">
      <c r="A5">
        <v>3</v>
      </c>
      <c r="B5" t="s">
        <v>51</v>
      </c>
      <c r="C5">
        <v>8790</v>
      </c>
      <c r="D5">
        <v>1180</v>
      </c>
      <c r="E5">
        <v>13.42</v>
      </c>
    </row>
    <row r="6" spans="1:5">
      <c r="A6">
        <v>4</v>
      </c>
      <c r="B6" t="s">
        <v>52</v>
      </c>
      <c r="C6">
        <v>542</v>
      </c>
      <c r="D6">
        <v>56</v>
      </c>
      <c r="E6">
        <v>10.33</v>
      </c>
    </row>
    <row r="7" spans="1:5">
      <c r="A7">
        <v>18</v>
      </c>
      <c r="B7" t="s">
        <v>53</v>
      </c>
      <c r="C7">
        <v>2474</v>
      </c>
      <c r="D7">
        <v>251</v>
      </c>
      <c r="E7">
        <v>10.15</v>
      </c>
    </row>
    <row r="8" spans="1:5">
      <c r="A8">
        <v>6</v>
      </c>
      <c r="B8" t="s">
        <v>54</v>
      </c>
      <c r="C8">
        <v>8291</v>
      </c>
      <c r="D8">
        <v>791</v>
      </c>
      <c r="E8">
        <v>9.5399999999999991</v>
      </c>
    </row>
    <row r="9" spans="1:5">
      <c r="A9">
        <v>7</v>
      </c>
      <c r="B9" t="s">
        <v>55</v>
      </c>
      <c r="C9">
        <v>409</v>
      </c>
      <c r="D9">
        <v>39</v>
      </c>
      <c r="E9">
        <v>9.5399999999999991</v>
      </c>
    </row>
    <row r="10" spans="1:5">
      <c r="A10">
        <v>1</v>
      </c>
      <c r="B10" t="s">
        <v>56</v>
      </c>
      <c r="C10">
        <v>44320</v>
      </c>
      <c r="D10">
        <v>3079</v>
      </c>
      <c r="E10">
        <v>6.95</v>
      </c>
    </row>
    <row r="11" spans="1:5">
      <c r="A11">
        <v>25</v>
      </c>
      <c r="B11" t="s">
        <v>57</v>
      </c>
      <c r="C11">
        <v>778</v>
      </c>
      <c r="D11">
        <v>48</v>
      </c>
      <c r="E11">
        <v>6.17</v>
      </c>
    </row>
    <row r="12" spans="1:5">
      <c r="A12">
        <v>23</v>
      </c>
      <c r="B12" t="s">
        <v>58</v>
      </c>
      <c r="C12">
        <v>260</v>
      </c>
      <c r="D12">
        <v>8</v>
      </c>
      <c r="E12">
        <v>3.08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2D10-3D07-42CE-B1A1-4387F955C08E}">
  <dimension ref="A1:D5"/>
  <sheetViews>
    <sheetView workbookViewId="0">
      <selection activeCell="B2" sqref="B2"/>
    </sheetView>
  </sheetViews>
  <sheetFormatPr defaultRowHeight="14.4"/>
  <cols>
    <col min="1" max="1" width="19.5546875" bestFit="1" customWidth="1"/>
    <col min="2" max="2" width="17.6640625" bestFit="1" customWidth="1"/>
    <col min="3" max="3" width="14.109375" bestFit="1" customWidth="1"/>
    <col min="4" max="4" width="21.5546875" bestFit="1" customWidth="1"/>
  </cols>
  <sheetData>
    <row r="1" spans="1:4">
      <c r="A1" t="s">
        <v>59</v>
      </c>
      <c r="B1" t="s">
        <v>1</v>
      </c>
      <c r="C1" t="s">
        <v>15</v>
      </c>
      <c r="D1" t="s">
        <v>3</v>
      </c>
    </row>
    <row r="2" spans="1:4">
      <c r="A2" t="s">
        <v>60</v>
      </c>
      <c r="B2">
        <v>7324</v>
      </c>
      <c r="C2">
        <v>772</v>
      </c>
      <c r="D2">
        <v>10.54</v>
      </c>
    </row>
    <row r="3" spans="1:4">
      <c r="A3" t="s">
        <v>61</v>
      </c>
      <c r="B3">
        <v>6777</v>
      </c>
      <c r="C3">
        <v>667</v>
      </c>
      <c r="D3">
        <v>9.84</v>
      </c>
    </row>
    <row r="4" spans="1:4">
      <c r="A4" t="s">
        <v>62</v>
      </c>
      <c r="B4">
        <v>21621</v>
      </c>
      <c r="C4">
        <v>2003</v>
      </c>
      <c r="D4">
        <v>9.26</v>
      </c>
    </row>
    <row r="5" spans="1:4">
      <c r="A5" t="s">
        <v>63</v>
      </c>
      <c r="B5">
        <v>34265</v>
      </c>
      <c r="C5">
        <v>2843</v>
      </c>
      <c r="D5">
        <v>8.3000000000000007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7B08-A994-47E2-8FB1-96512A276584}">
  <dimension ref="A1:G3"/>
  <sheetViews>
    <sheetView workbookViewId="0">
      <selection activeCell="C3" sqref="C3"/>
    </sheetView>
  </sheetViews>
  <sheetFormatPr defaultRowHeight="14.4"/>
  <cols>
    <col min="1" max="1" width="19.5546875" bestFit="1" customWidth="1"/>
    <col min="2" max="2" width="17.6640625" bestFit="1" customWidth="1"/>
    <col min="3" max="3" width="25" bestFit="1" customWidth="1"/>
    <col min="4" max="4" width="20.44140625" bestFit="1" customWidth="1"/>
    <col min="5" max="5" width="24.88671875" bestFit="1" customWidth="1"/>
    <col min="6" max="6" width="27.6640625" bestFit="1" customWidth="1"/>
    <col min="7" max="7" width="21.44140625" bestFit="1" customWidth="1"/>
  </cols>
  <sheetData>
    <row r="1" spans="1:7">
      <c r="A1" t="s">
        <v>64</v>
      </c>
      <c r="B1" t="s">
        <v>1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>
      <c r="A2" t="s">
        <v>70</v>
      </c>
      <c r="B2">
        <v>6285</v>
      </c>
      <c r="C2">
        <v>4.79</v>
      </c>
      <c r="D2">
        <v>44.91</v>
      </c>
      <c r="E2">
        <v>1.42</v>
      </c>
      <c r="F2">
        <v>16.62</v>
      </c>
      <c r="G2">
        <v>0.83</v>
      </c>
    </row>
    <row r="3" spans="1:7">
      <c r="A3" t="s">
        <v>71</v>
      </c>
      <c r="B3">
        <v>63702</v>
      </c>
      <c r="C3">
        <v>4.22</v>
      </c>
      <c r="D3">
        <v>42.68</v>
      </c>
      <c r="E3">
        <v>1.43</v>
      </c>
      <c r="F3">
        <v>15.57</v>
      </c>
      <c r="G3">
        <v>0.53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433B-867F-48DE-9F00-D5F6A1953661}">
  <dimension ref="A1:D4"/>
  <sheetViews>
    <sheetView workbookViewId="0">
      <selection activeCell="D16" sqref="D16"/>
    </sheetView>
  </sheetViews>
  <sheetFormatPr defaultRowHeight="14.4"/>
  <cols>
    <col min="1" max="1" width="21.88671875" bestFit="1" customWidth="1"/>
    <col min="2" max="2" width="17.6640625" bestFit="1" customWidth="1"/>
    <col min="3" max="3" width="14.109375" bestFit="1" customWidth="1"/>
    <col min="4" max="4" width="21.5546875" bestFit="1" customWidth="1"/>
  </cols>
  <sheetData>
    <row r="1" spans="1:4">
      <c r="A1" t="s">
        <v>72</v>
      </c>
      <c r="B1" t="s">
        <v>1</v>
      </c>
      <c r="C1" t="s">
        <v>15</v>
      </c>
      <c r="D1" t="s">
        <v>3</v>
      </c>
    </row>
    <row r="2" spans="1:4">
      <c r="A2" t="s">
        <v>73</v>
      </c>
      <c r="B2">
        <v>35144</v>
      </c>
      <c r="C2">
        <v>2647</v>
      </c>
      <c r="D2">
        <v>7.53</v>
      </c>
    </row>
    <row r="3" spans="1:4">
      <c r="A3" t="s">
        <v>74</v>
      </c>
      <c r="B3">
        <v>25075</v>
      </c>
      <c r="C3">
        <v>2486</v>
      </c>
      <c r="D3">
        <v>9.91</v>
      </c>
    </row>
    <row r="4" spans="1:4">
      <c r="A4" t="s">
        <v>75</v>
      </c>
      <c r="B4">
        <v>9768</v>
      </c>
      <c r="C4">
        <v>1152</v>
      </c>
      <c r="D4">
        <v>11.79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895E0F-1E9C-4429-AAFC-9FB7F7ADFB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02_Clinical_Risk</vt:lpstr>
      <vt:lpstr>Utilization_Cost</vt:lpstr>
      <vt:lpstr>stretegic performance</vt:lpstr>
      <vt:lpstr>executive_summary</vt:lpstr>
      <vt:lpstr>polypharmacy</vt:lpstr>
      <vt:lpstr>overall_readmission</vt:lpstr>
      <vt:lpstr>age_group_readmission</vt:lpstr>
      <vt:lpstr>prior_inpatient</vt:lpstr>
      <vt:lpstr>diagnosis_category</vt:lpstr>
      <vt:lpstr>patient_risk_scores</vt:lpstr>
      <vt:lpstr>discharge_dipositions</vt:lpstr>
      <vt:lpstr>insuline_change_impact</vt:lpstr>
      <vt:lpstr>average_Healthcare_utilisation</vt:lpstr>
      <vt:lpstr>length_of_stay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M.Dilip Kumar Singha</dc:creator>
  <cp:lastModifiedBy>M.Dilip Kumar Singha</cp:lastModifiedBy>
  <dcterms:created xsi:type="dcterms:W3CDTF">2026-09-05T07:59:56Z</dcterms:created>
  <dcterms:modified xsi:type="dcterms:W3CDTF">2026-09-08T05:33:16Z</dcterms:modified>
</cp:coreProperties>
</file>